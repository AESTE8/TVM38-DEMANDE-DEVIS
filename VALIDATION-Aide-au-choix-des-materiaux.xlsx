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11_1614CF6AC6D622AF3AA9D02B5425E7CAB80E26D9" xr6:coauthVersionLast="47" xr6:coauthVersionMax="47" xr10:uidLastSave="{00000000-0000-0000-0000-000000000000}"/>
  <bookViews>
    <workbookView xWindow="-120" yWindow="-120" windowWidth="29040" windowHeight="15720" activeTab="1" xr2:uid="{00000000-000D-0000-FFFF-FFFF00000000}"/>
  </bookViews>
  <sheets>
    <sheet name="Mode d'emploi" sheetId="1" r:id="rId1"/>
    <sheet name="Livraison — structures" sheetId="2" r:id="rId2"/>
    <sheet name="Décharge — classement" sheetId="3" r:id="rId3"/>
    <sheet name="Fiches matériaux" sheetId="4" r:id="rId4"/>
    <sheet name="Hypothèses de calcul" sheetId="5" r:id="rId5"/>
  </sheets>
  <definedNames>
    <definedName name="_xlnm.Print_Titles" localSheetId="2">'Décharge — classement'!$4:$4</definedName>
    <definedName name="_xlnm.Print_Titles" localSheetId="3">'Fiches matériaux'!$4:$4</definedName>
    <definedName name="_xlnm.Print_Titles" localSheetId="1">'Livraison — structures'!$4:$4</definedName>
  </definedNames>
  <calcPr calcId="171027"/>
</workbook>
</file>

<file path=xl/sharedStrings.xml><?xml version="1.0" encoding="utf-8"?>
<sst xmlns="http://schemas.openxmlformats.org/spreadsheetml/2006/main" count="571" uniqueCount="353">
  <si>
    <t>Aide au choix des matériaux — document de validation</t>
  </si>
  <si>
    <t>Site de demande de devis TVM38 · version 1.0-a-valider · à valider avant mise en ligne</t>
  </si>
  <si>
    <t>À quoi sert ce document</t>
  </si>
  <si>
    <t>Le formulaire de demande de devis en ligne va proposer un assistant : le client indique ce qu'il veut faire (une allée, un drain, un massif…), et le site lui propose les matériaux correspondants, avec l'épaisseur conseillée et le tonnage calculé. Ce classeur est la totalité de ce que le site dira aux clients. Rien ne sera mis en ligne avant votre validation.</t>
  </si>
  <si>
    <t>Ce que je vous demande</t>
  </si>
  <si>
    <t>Parcourir les onglets « Livraison », « Décharge » et « Fiches matériaux ». Sur chaque ligne, choisir OK, À corriger ou À supprimer dans la colonne de validation (liste déroulante), et écrire la correction dans la colonne de droite quand il y en a une.</t>
  </si>
  <si>
    <t>Les points à regarder en priorité</t>
  </si>
  <si>
    <t>1. Les épaisseurs conseillées correspondent-elles à ce que vous recommandez au téléphone ?
2. Les matériaux proposés sont-ils les bons pour chaque usage ?
3. Les mises en garde (colonne « à éviter ») sont-elles justes ?
4. Le classement des déblais en décharge correspond-il à ce que vous acceptez au pont-bascule ?</t>
  </si>
  <si>
    <t>Comment sont calculés les tonnages</t>
  </si>
  <si>
    <t>Surface × épaisseur = volume géométrique, puis multiplication par un coefficient de compactage, puis par la densité du matériau. Le détail figure dans l'onglet « Hypothèses de calcul ». Le client voit ce détail à l'écran : il peut vérifier le calcul.</t>
  </si>
  <si>
    <t>Ce qui est affiché au client</t>
  </si>
  <si>
    <t>Une mention accompagne systématiquement le résultat : « Estimation indicative pour vous aider à commander. Pour un ouvrage soumis à charge lourde, faites valider par votre maçon. » Le site ne se substitue pas à une étude.</t>
  </si>
  <si>
    <t>Ce que vous recevrez en plus</t>
  </si>
  <si>
    <t>Le contexte déclaré par le client (projet, dimensions, épaisseurs) sera repris dans les notes de la demande de devis. Vous verrez donc, avant de chiffrer, ce que le client cherche réellement à faire — et vous pourrez le corriger s'il s'est trompé.</t>
  </si>
  <si>
    <t>Validé par</t>
  </si>
  <si>
    <t>Nom :                                          Date :                              Observations générales :</t>
  </si>
  <si>
    <t>Livraison — structures conseillées par type de projet</t>
  </si>
  <si>
    <t>Chaque bloc = un parcours client complet. Les couches d'un même bloc sont proposées ensemble (le client peut en décocher).</t>
  </si>
  <si>
    <t>Projet du client</t>
  </si>
  <si>
    <t>Question posée par le site</t>
  </si>
  <si>
    <t>Réponse du client</t>
  </si>
  <si>
    <t>Couche</t>
  </si>
  <si>
    <t>Rôle de la couche</t>
  </si>
  <si>
    <t>Code</t>
  </si>
  <si>
    <t>Matériau proposé</t>
  </si>
  <si>
    <t>Épaisseur
conseillée (cm)</t>
  </si>
  <si>
    <t>Compactage</t>
  </si>
  <si>
    <t>Coeff.</t>
  </si>
  <si>
    <t>Densité
(t/m³)</t>
  </si>
  <si>
    <t>Exemple : 50 m²
→ tonnes</t>
  </si>
  <si>
    <t>Conseil technique affiché au client</t>
  </si>
  <si>
    <t>Validation</t>
  </si>
  <si>
    <t>Correction / remarque du responsable carrière</t>
  </si>
  <si>
    <t>Allée, cour, accès</t>
  </si>
  <si>
    <t>Qui va circuler dessus ?</t>
  </si>
  <si>
    <t>Piétons uniquement
(Allée de jardin, cheminement, accès de portail sans véhicule)</t>
  </si>
  <si>
    <t>1/2</t>
  </si>
  <si>
    <t>Fondation</t>
  </si>
  <si>
    <t>B.1.2</t>
  </si>
  <si>
    <t>Grave concassé 0/25</t>
  </si>
  <si>
    <t>Couche compactée</t>
  </si>
  <si>
    <t>Sur terre végétale ou sol argileux, poser un géotextile anticontaminant avant la fondation (non fourni par TVM38).</t>
  </si>
  <si>
    <t>2/2</t>
  </si>
  <si>
    <t>Finition</t>
  </si>
  <si>
    <t>B.5.1</t>
  </si>
  <si>
    <t>Calcaire concassé 0/15</t>
  </si>
  <si>
    <t>Voitures (véhicule léger)
(Allée de garage, cour de maison, place de stationnement)</t>
  </si>
  <si>
    <t>Décaisser d'au moins 20 cm avant de remblayer. Géotextile conseillé sur sol argileux.</t>
  </si>
  <si>
    <t>Camions ou engins
(Accès de ferme, cour d'entreprise, passage de poids lourd)</t>
  </si>
  <si>
    <t>B.1.3</t>
  </si>
  <si>
    <t>Grave concassé 0/80</t>
  </si>
  <si>
    <t>Compacter la fondation par couches de 20 cm maximum. Sur sol portant faible, faire vérifier la structure.</t>
  </si>
  <si>
    <t>B.5.2</t>
  </si>
  <si>
    <t>Calcaire concassé 0/31.5</t>
  </si>
  <si>
    <t>Chemin, parking, plateforme</t>
  </si>
  <si>
    <t>Quel usage et quel terrain ?</t>
  </si>
  <si>
    <t>Parking véhicules légers
(Aire de stationnement, cour gravillonnée)</t>
  </si>
  <si>
    <t>Prévoir une pente de 2 % pour l'évacuation de l'eau.</t>
  </si>
  <si>
    <t>Chemin d'exploitation, passage d'engins
(Chemin agricole, piste de chantier, accès poids lourd régulier)</t>
  </si>
  <si>
    <t>B.5.3</t>
  </si>
  <si>
    <t>Concassé 0/100</t>
  </si>
  <si>
    <t>Le 0/100 apporte la portance ; il ne se roule pas seul, la couche de finition est indispensable.</t>
  </si>
  <si>
    <t>Terrain humide ou peu portant
(Sol qui garde l'eau, ornières, terrain gorgé au printemps)</t>
  </si>
  <si>
    <t>Fondation drainante</t>
  </si>
  <si>
    <t>B.6.2</t>
  </si>
  <si>
    <t>Granit 20/60 concassé</t>
  </si>
  <si>
    <t>Le granit résiste mieux à l'eau que le calcaire, qui se délite en présence d'humidité permanente. Géotextile fortement conseillé.</t>
  </si>
  <si>
    <t>B.6.1</t>
  </si>
  <si>
    <t>Granit 0/20</t>
  </si>
  <si>
    <t>Drainage, évacuation d'eau</t>
  </si>
  <si>
    <t>Où l'eau doit-elle être reprise ?</t>
  </si>
  <si>
    <t>Drain en pied de mur ou de fondation
(Mur enterré, sous-sol humide, cave)</t>
  </si>
  <si>
    <t>1/1</t>
  </si>
  <si>
    <t>Remplissage drainant</t>
  </si>
  <si>
    <t>B.4.3</t>
  </si>
  <si>
    <t>Galets 20/40 lavés</t>
  </si>
  <si>
    <t>Couche non compactée</t>
  </si>
  <si>
    <t>Toujours un matériau lavé. Un granulat chargé en fines colmate le drain en une à deux saisons et le mur redevient humide.</t>
  </si>
  <si>
    <t>Tranchée drainante dans le terrain
(Terrain qui retient l'eau, drain agricole, reprise de source)</t>
  </si>
  <si>
    <t>B.4.6</t>
  </si>
  <si>
    <t>Gravette 11/22 roulée lavée</t>
  </si>
  <si>
    <t>Enrober le drain dans un géotextile avant de remblayer, sinon les fines du terrain migrent dans le granulat.</t>
  </si>
  <si>
    <t>Massif d'infiltration ou puits perdu
(Rejet d'eaux pluviales, épandage)</t>
  </si>
  <si>
    <t>Corps du massif</t>
  </si>
  <si>
    <t>B.4.4</t>
  </si>
  <si>
    <t>Galets 40/100</t>
  </si>
  <si>
    <t>selon volume</t>
  </si>
  <si>
    <t>n/a</t>
  </si>
  <si>
    <t>Volume de vide utile d'environ 30 % du volume de galets : un massif de 3 m³ stocke à peu près 1 m³ d'eau.</t>
  </si>
  <si>
    <t>Jardin, plantation, engazonnement</t>
  </si>
  <si>
    <t>Que voulez-vous faire pousser ?</t>
  </si>
  <si>
    <t>Semer ou refaire un gazon
(Apport de finition avant semis)</t>
  </si>
  <si>
    <t>Terre de finition</t>
  </si>
  <si>
    <t>B.2.1</t>
  </si>
  <si>
    <t>Terre criblée 0/10</t>
  </si>
  <si>
    <t>Terre végétale</t>
  </si>
  <si>
    <t>Le 0/10 se règle finement au râteau : c'est le criblage adapté au semis.</t>
  </si>
  <si>
    <t>Créer un massif ou un potager
(Plantations, arbustes, culture)</t>
  </si>
  <si>
    <t>Terre de plantation</t>
  </si>
  <si>
    <t>B.2.3</t>
  </si>
  <si>
    <t>Terre criblée amendée</t>
  </si>
  <si>
    <t>La terre amendée est enrichie : inutile d'ajouter du compost la première année.</t>
  </si>
  <si>
    <t>Remonter ou niveler un terrain
(Combler un creux, rattraper un niveau avant engazonnement)</t>
  </si>
  <si>
    <t>Terre de remblai</t>
  </si>
  <si>
    <t>B.2.2</t>
  </si>
  <si>
    <t>Terre criblée 0/30</t>
  </si>
  <si>
    <t>Pour une remontée de plus de 30 cm, remblayer en tout-venant puis finir en terre végétale : moins cher et moins de tassement.</t>
  </si>
  <si>
    <t>Planter un arbre (fosse)
(Arbre de haute tige, alignement, fosse en zone circulée)</t>
  </si>
  <si>
    <t>Remplissage de fosse</t>
  </si>
  <si>
    <t>B.2.4</t>
  </si>
  <si>
    <t>Mélange terre pierres</t>
  </si>
  <si>
    <t>Le mélange terre-pierres supporte la circulation sans écraser les racines : c'est sa raison d'être en fosse d'arbre urbaine.</t>
  </si>
  <si>
    <t>Mur, gabion, enrochement</t>
  </si>
  <si>
    <t>Quel type d'ouvrage ?</t>
  </si>
  <si>
    <t>Remplir des gabions
(Cages métalliques, mur décoratif ou de soutènement léger)</t>
  </si>
  <si>
    <t>Remplissage de cage</t>
  </si>
  <si>
    <t>B.6.3</t>
  </si>
  <si>
    <t>Granit 60/100 pour gabions</t>
  </si>
  <si>
    <t>Le calibre 60/100 est fait pour des mailles standard. Plus petit, les blocs traversent la maille.</t>
  </si>
  <si>
    <t>Mur de soutènement en enrochement
(Retenue de talus, rattrapage de niveau)</t>
  </si>
  <si>
    <t>Blocs</t>
  </si>
  <si>
    <t>B.2.5</t>
  </si>
  <si>
    <t>Blocs d'enrochement</t>
  </si>
  <si>
    <t>Prévoir une assise décaissée et un fruit (inclinaison vers le talus). Au-delà de 1,50 m de hauteur, faire dimensionner l'ouvrage.</t>
  </si>
  <si>
    <t>Rocaille, décor, blocs apparents
(Aménagement paysager, séparation de zones)</t>
  </si>
  <si>
    <t>B.2.6</t>
  </si>
  <si>
    <t>Blocs d'enrochement paysager</t>
  </si>
  <si>
    <t>Blocs choisis pour l'aspect : préciser la taille moyenne souhaitée dans les notes de la demande.</t>
  </si>
  <si>
    <t>Remblai, comblement de fouille</t>
  </si>
  <si>
    <t>Que devez-vous remblayer ?</t>
  </si>
  <si>
    <t>Combler une fouille ou un vide
(Ancienne fosse, cave comblée, excavation)</t>
  </si>
  <si>
    <t>Remblai</t>
  </si>
  <si>
    <t>B.4.1</t>
  </si>
  <si>
    <t>Tout-venant 0/60</t>
  </si>
  <si>
    <t>Remblayer par couches de 30 cm compactées. Un remblai déversé en une fois se tasse et crée un affaissement.</t>
  </si>
  <si>
    <t>Enrober des canalisations ou des gaines
(Tranchée de réseaux : eau, électricité, télécom)</t>
  </si>
  <si>
    <t>Lit de pose et enrobage</t>
  </si>
  <si>
    <t>B.4.2</t>
  </si>
  <si>
    <t>Sable de remblaiement</t>
  </si>
  <si>
    <t>Le sable protège la canalisation ; ne jamais mettre de grave au contact direct d'un tuyau. Grillage avertisseur à 30 cm au-dessus du réseau.</t>
  </si>
  <si>
    <t>Remblai supérieur</t>
  </si>
  <si>
    <t>Créer une plateforme portante
(Plateforme de bâtiment, aire de stockage, dalle à venir)</t>
  </si>
  <si>
    <t>Corps de plateforme</t>
  </si>
  <si>
    <t>Le réglage en 0/31.5 permet de rattraper le niveau au laser avant coulage.</t>
  </si>
  <si>
    <t>Réglage de surface</t>
  </si>
  <si>
    <t>Terrasse, dalle béton, dallage</t>
  </si>
  <si>
    <t>Comment posez-vous votre surface ?</t>
  </si>
  <si>
    <t>Couler une dalle béton
(Terrasse béton, abri de jardin, garage)</t>
  </si>
  <si>
    <t>Hérisson (fondation)</t>
  </si>
  <si>
    <t>TVM38 fournit le support de la dalle, pas le béton. Si vous fabriquez votre béton sur place, il faut en plus de la Gravette 4/12 et du Sable 0/4, plus le ciment (non fourni). Le béton prêt à l'emploi n'est pas au catalogue.
NON FOURNI PAR TVM38 : Ciment, béton prêt à l'emploi, film polyane, treillis soudé</t>
  </si>
  <si>
    <t>Lit de réglage</t>
  </si>
  <si>
    <t>B.7.1</t>
  </si>
  <si>
    <t>Sable concassé 0/4</t>
  </si>
  <si>
    <t>Poser des dalles ou des pavés sur lit de sable
(Terrasse en dalles, pavage, allée pavée)</t>
  </si>
  <si>
    <t>Le lit de pose ne se compacte pas avant la pose : il se règle à la règle, puis les dalles sont vibrées dessus.</t>
  </si>
  <si>
    <t>Lit de pose</t>
  </si>
  <si>
    <t>Réparation de nid-de-poule</t>
  </si>
  <si>
    <t>Que réparez-vous ?</t>
  </si>
  <si>
    <t>Trous et affaissements ponctuels
(Cour, chemin d'accès, voirie privée)</t>
  </si>
  <si>
    <t>Réparation</t>
  </si>
  <si>
    <t>B.8.1</t>
  </si>
  <si>
    <t>Enrobé à froid COMPOMAC 0/6</t>
  </si>
  <si>
    <t>Se met en œuvre à froid, sans matériel spécifique. Compacter en deux passes de 3 cm. Le produit se stocke : un sac entamé reste utilisable.</t>
  </si>
  <si>
    <t>Décharge — identification de ce que le client apporte</t>
  </si>
  <si>
    <t>Objectif : éviter les chargements mal déclarés, refusés ou requalifiés au pont-bascule.</t>
  </si>
  <si>
    <t>Origine déclarée par le client</t>
  </si>
  <si>
    <t>Question de contrôle posée par le site</t>
  </si>
  <si>
    <t>Classement retenu</t>
  </si>
  <si>
    <t>Message affiché au client</t>
  </si>
  <si>
    <t>Démolition de maçonnerie ou de béton</t>
  </si>
  <si>
    <t>Y a-t-il des fers à béton dans les blocs ?</t>
  </si>
  <si>
    <t>Oui, il y a du ferraillage</t>
  </si>
  <si>
    <t>B.3.2</t>
  </si>
  <si>
    <t>Déblais béton ferraillé</t>
  </si>
  <si>
    <t/>
  </si>
  <si>
    <t>Non, béton et pierre uniquement</t>
  </si>
  <si>
    <t>B.3.1</t>
  </si>
  <si>
    <t>Déblais béton pierre trié</t>
  </si>
  <si>
    <t>Présence de fers : le chargement bascule en béton ferraillé.</t>
  </si>
  <si>
    <t>Terrassement, fond de fouille</t>
  </si>
  <si>
    <t>Est-ce de la terre et des cailloux propres, sans autre déchet ?</t>
  </si>
  <si>
    <t>Oui, terre et cailloux uniquement</t>
  </si>
  <si>
    <t>B.3.3</t>
  </si>
  <si>
    <t>Déblais de tranchée criblables</t>
  </si>
  <si>
    <t>Toute présence de plâtre, plastique, bois ou enrobé le déclasse.</t>
  </si>
  <si>
    <t>Non, il y a du plâtre, du plastique, du bois ou de l'enrobé</t>
  </si>
  <si>
    <t>B.3.4</t>
  </si>
  <si>
    <t>Déblais non recyclables</t>
  </si>
  <si>
    <t>Tranchée de réseaux</t>
  </si>
  <si>
    <t>Les déblais sont-ils propres, sans gravats ni enrobé ?</t>
  </si>
  <si>
    <t>Oui, déblais de terre et cailloux</t>
  </si>
  <si>
    <t>Non, mélangés avec des gravats</t>
  </si>
  <si>
    <t>Rabotage ou croûte d'enrobé</t>
  </si>
  <si>
    <t>Est-ce de l'enrobé seul, sans terre ni gravats ?</t>
  </si>
  <si>
    <t>Oui, enrobé seul</t>
  </si>
  <si>
    <t>B.3.5</t>
  </si>
  <si>
    <t>Enrobé trié</t>
  </si>
  <si>
    <t>Mélangé à de la terre, il passe en déblais non recyclables.</t>
  </si>
  <si>
    <t>Non, mélangé à de la terre ou des gravats</t>
  </si>
  <si>
    <t>Mélangé, ou je ne sais pas</t>
  </si>
  <si>
    <t>— (aucune question complémentaire)</t>
  </si>
  <si>
    <t>Classement à confirmer par TVM38</t>
  </si>
  <si>
    <t>Ajoutez une photo du chargement dans votre demande. TVM38 confirme le classement à la réception. Un chargement mal déclaré peut être refusé au pont-bascule ou requalifié, ce qui change le prix.</t>
  </si>
  <si>
    <t>Fiches matériaux — texte affiché dans la liste</t>
  </si>
  <si>
    <t>Les matériaux du catalogue. La phrase et la mise en garde s'affichent sous le nom, dans le formulaire.</t>
  </si>
  <si>
    <t>Section du catalogue</t>
  </si>
  <si>
    <t>Matériau</t>
  </si>
  <si>
    <t>Usages (filtres du site)</t>
  </si>
  <si>
    <t>Phrase affichée sous le nom du matériau</t>
  </si>
  <si>
    <t>Mise en garde « à éviter »</t>
  </si>
  <si>
    <t>Proposé par l'assistant pour</t>
  </si>
  <si>
    <t>Matériaux recyclés</t>
  </si>
  <si>
    <t>B.1.1</t>
  </si>
  <si>
    <t>Enrobé concassé 0/25</t>
  </si>
  <si>
    <t>allee, finition</t>
  </si>
  <si>
    <t>Finition d'allée ou de cour, se prend en masse au soleil</t>
  </si>
  <si>
    <t>Pas en fondation : il n'apporte pas de portance.</t>
  </si>
  <si>
    <t>— (visible dans la liste, jamais proposé automatiquement)</t>
  </si>
  <si>
    <t>fondation, allee, remblai</t>
  </si>
  <si>
    <t>La fondation de référence : allée, cour, dalle. Se compacte très bien</t>
  </si>
  <si>
    <t>Pas en finition apparente : contient des fines qui salissent par temps humide.</t>
  </si>
  <si>
    <t>Allée, cour, accès / Piétons uniquement (Fondation)
Allée, cour, accès / Voitures (véhicule léger) (Fondation)
Terrasse, dalle béton, dallage / Couler une dalle béton (Hérisson (fondation))
Terrasse, dalle béton, dallage / Poser des dalles ou des pavés sur lit de sable (Fondation)</t>
  </si>
  <si>
    <t>fondation, remblai</t>
  </si>
  <si>
    <t>Grosse fondation, plateforme et passage de poids lourd</t>
  </si>
  <si>
    <t>Trop grossier pour une finition ou pour être réglé finement.</t>
  </si>
  <si>
    <t>Allée, cour, accès / Camions ou engins (Fondation)
Chemin, parking, plateforme / Parking véhicules légers (Fondation)
Remblai, comblement de fouille / Créer une plateforme portante (Corps de plateforme)</t>
  </si>
  <si>
    <t>B.1.4</t>
  </si>
  <si>
    <t>Grave concassé mixte 0/25</t>
  </si>
  <si>
    <t>Alternative économique pour fondation et remblai courant</t>
  </si>
  <si>
    <t>Composition mixte : à éviter sous une dalle destinée à recevoir une charge lourde.</t>
  </si>
  <si>
    <t>Matériaux paysagers</t>
  </si>
  <si>
    <t>paysager</t>
  </si>
  <si>
    <t>Terre fine pour semer un gazon ou finir un terrain</t>
  </si>
  <si>
    <t>Pas pour remonter un terrain sur une forte épaisseur : tassement.</t>
  </si>
  <si>
    <t>Jardin, plantation, engazonnement / Semer ou refaire un gazon (Terre de finition)</t>
  </si>
  <si>
    <t>Terre pour remblayer, remodeler, remonter un niveau</t>
  </si>
  <si>
    <t>Trop grossière pour un semis de gazon en finition.</t>
  </si>
  <si>
    <t>Jardin, plantation, engazonnement / Remonter ou niveler un terrain (Terre de remblai)</t>
  </si>
  <si>
    <t>Terre enrichie pour massifs, potager et plantations</t>
  </si>
  <si>
    <t>Inutilement chère pour du simple remblaiement.</t>
  </si>
  <si>
    <t>Jardin, plantation, engazonnement / Créer un massif ou un potager (Terre de plantation)</t>
  </si>
  <si>
    <t>Fosse d'arbre en zone circulée : supporte la charge sans écraser les racines</t>
  </si>
  <si>
    <t>Pas pour un massif de fleurs ou un gazon.</t>
  </si>
  <si>
    <t>Jardin, plantation, engazonnement / Planter un arbre (fosse) (Remplissage de fosse)</t>
  </si>
  <si>
    <t>enrochement</t>
  </si>
  <si>
    <t>Blocs de soutènement, retenue de talus</t>
  </si>
  <si>
    <t>Au-delà de 1,50 m de mur, faire dimensionner l'ouvrage.</t>
  </si>
  <si>
    <t>Mur, gabion, enrochement / Mur de soutènement en enrochement (Blocs)</t>
  </si>
  <si>
    <t>enrochement, paysager</t>
  </si>
  <si>
    <t>Blocs choisis pour l'aspect : rocaille, décor, séparation</t>
  </si>
  <si>
    <t>Non calibrés pour un ouvrage de soutènement structurel.</t>
  </si>
  <si>
    <t>Mur, gabion, enrochement / Rocaille, décor, blocs apparents (Blocs)</t>
  </si>
  <si>
    <t>Déblais en décharge</t>
  </si>
  <si>
    <t>decharge</t>
  </si>
  <si>
    <t>Béton et pierre de démolition, sans ferraillage</t>
  </si>
  <si>
    <t>Décharge : Démolition de maçonnerie ou de béton</t>
  </si>
  <si>
    <t>Béton de démolition contenant des fers à béton</t>
  </si>
  <si>
    <t>—</t>
  </si>
  <si>
    <t>Déblais de terrassement et de tranchée, propres et criblables</t>
  </si>
  <si>
    <t>Décharge : Terrassement, fond de fouille
Décharge : Tranchée de réseaux</t>
  </si>
  <si>
    <t>Déblais mélangés ou pollués, non valorisables</t>
  </si>
  <si>
    <t>Décharge : Terrassement, fond de fouille
Décharge : Tranchée de réseaux
Décharge : Rabotage ou croûte d'enrobé
Décharge : Mélangé, ou je ne sais pas</t>
  </si>
  <si>
    <t>Croûte et rabotage d'enrobé, triés, sans terre</t>
  </si>
  <si>
    <t>Décharge : Rabotage ou croûte d'enrobé</t>
  </si>
  <si>
    <t>Matériaux silico-calcaire</t>
  </si>
  <si>
    <t>remblai, fondation</t>
  </si>
  <si>
    <t>Remblai courant, comblement de fouille, plateforme</t>
  </si>
  <si>
    <t>Pas au contact direct d'une canalisation.</t>
  </si>
  <si>
    <t>Remblai, comblement de fouille / Combler une fouille ou un vide (Remblai)
Remblai, comblement de fouille / Enrober des canalisations ou des gaines (Remblai supérieur)</t>
  </si>
  <si>
    <t>enrobage-reseau, remblai</t>
  </si>
  <si>
    <t>Lit de pose et enrobage de canalisations et de gaines</t>
  </si>
  <si>
    <t>Aucune portance : jamais en fondation de voirie.</t>
  </si>
  <si>
    <t>Remblai, comblement de fouille / Enrober des canalisations ou des gaines (Lit de pose et enrobage)</t>
  </si>
  <si>
    <t>drainage</t>
  </si>
  <si>
    <t>Drainage en pied de mur et de fondation, lavé donc non colmatant</t>
  </si>
  <si>
    <t>Pas en circulation : les galets roulent sous les roues.</t>
  </si>
  <si>
    <t>Drainage, évacuation d'eau / Drain en pied de mur ou de fondation (Remplissage drainant)</t>
  </si>
  <si>
    <t>drainage, paysager</t>
  </si>
  <si>
    <t>Massif d'infiltration, puits perdu, gros drainage et décor</t>
  </si>
  <si>
    <t>Trop gros pour un drain périphérique classique.</t>
  </si>
  <si>
    <t>Drainage, évacuation d'eau / Massif d'infiltration ou puits perdu (Corps du massif)</t>
  </si>
  <si>
    <t>B.4.5</t>
  </si>
  <si>
    <t>Gravette 4/12 roulée lavée</t>
  </si>
  <si>
    <t>beton, paysager, drainage</t>
  </si>
  <si>
    <t>Granulat à béton, gravier décoratif, drainage fin</t>
  </si>
  <si>
    <t>Roulé et lavé : ne se compacte pas, pas en fondation.</t>
  </si>
  <si>
    <t>Tranchée drainante et gravier décoratif de calibre moyen</t>
  </si>
  <si>
    <t>Ne se compacte pas : pas en couche de roulement.</t>
  </si>
  <si>
    <t>Drainage, évacuation d'eau / Tranchée drainante dans le terrain (Remplissage drainant)</t>
  </si>
  <si>
    <t>Matériaux calcaire</t>
  </si>
  <si>
    <t>finition, allee</t>
  </si>
  <si>
    <t>Finition d'allée et de cour, se ferme et se roule bien</t>
  </si>
  <si>
    <t>Se délite en terrain humide en permanence : préférer le granit.</t>
  </si>
  <si>
    <t>Allée, cour, accès / Piétons uniquement (Finition)
Allée, cour, accès / Voitures (véhicule léger) (Finition)</t>
  </si>
  <si>
    <t>finition, fondation, allee</t>
  </si>
  <si>
    <t>Finition et réglage de plateforme, tenue au passage de camions</t>
  </si>
  <si>
    <t>Même réserve que le 0/15 en présence d'eau permanente.</t>
  </si>
  <si>
    <t>Allée, cour, accès / Camions ou engins (Finition)
Chemin, parking, plateforme / Parking véhicules légers (Finition)
Chemin, parking, plateforme / Chemin d'exploitation, passage d'engins (Finition)
Remblai, comblement de fouille / Créer une plateforme portante (Réglage de surface)</t>
  </si>
  <si>
    <t>fondation</t>
  </si>
  <si>
    <t>Portance forte : chemin d'exploitation, piste, fond de forme</t>
  </si>
  <si>
    <t>Ne se règle pas seul : demande une couche de finition.</t>
  </si>
  <si>
    <t>Chemin, parking, plateforme / Chemin d'exploitation, passage d'engins (Fondation)</t>
  </si>
  <si>
    <t>Matériaux éruptifs</t>
  </si>
  <si>
    <t>Finition dure, résiste à l'humidité mieux que le calcaire</t>
  </si>
  <si>
    <t>Plus cher que le calcaire : réservé aux zones humides ou très circulées.</t>
  </si>
  <si>
    <t>Chemin, parking, plateforme / Terrain humide ou peu portant (Finition)</t>
  </si>
  <si>
    <t>fondation, drainage</t>
  </si>
  <si>
    <t>Fondation drainante en terrain humide ou peu portant</t>
  </si>
  <si>
    <t>Trop grossier en finition.</t>
  </si>
  <si>
    <t>Chemin, parking, plateforme / Terrain humide ou peu portant (Fondation drainante)</t>
  </si>
  <si>
    <t>Remplissage de gabions, calibre adapté aux mailles standard</t>
  </si>
  <si>
    <t>Calibre plus petit : les blocs traversent la maille.</t>
  </si>
  <si>
    <t>Mur, gabion, enrochement / Remplir des gabions (Remplissage de cage)</t>
  </si>
  <si>
    <t>Sable</t>
  </si>
  <si>
    <t>beton, lit-de-pose</t>
  </si>
  <si>
    <t>Lit de pose de dalles et de pavés, sable à béton</t>
  </si>
  <si>
    <t>Aucune portance : ne remplace pas une fondation.</t>
  </si>
  <si>
    <t>Terrasse, dalle béton, dallage / Couler une dalle béton (Lit de réglage)
Terrasse, dalle béton, dallage / Poser des dalles ou des pavés sur lit de sable (Lit de pose)</t>
  </si>
  <si>
    <t>Enrobé</t>
  </si>
  <si>
    <t>reparation</t>
  </si>
  <si>
    <t>Réparation de nid-de-poule à froid, sans matériel spécifique</t>
  </si>
  <si>
    <t>Pas pour refaire une chaussée complète : produit de réparation ponctuelle.</t>
  </si>
  <si>
    <t>Réparation de nid-de-poule / Trous et affaissements ponctuels (Réparation)</t>
  </si>
  <si>
    <t>Hypothèses de calcul des quantités</t>
  </si>
  <si>
    <t>Ce que le site applique pour passer des dimensions du client au tonnage commandé.</t>
  </si>
  <si>
    <t>Formule appliquée</t>
  </si>
  <si>
    <t>Tonnes = Surface (m²) × Épaisseur (m) × Coefficient de compactage × Densité (t/m³)</t>
  </si>
  <si>
    <t>Coefficient</t>
  </si>
  <si>
    <t>Valeur</t>
  </si>
  <si>
    <t>Pourquoi</t>
  </si>
  <si>
    <t>Correction / remarque</t>
  </si>
  <si>
    <t>Un matériau compacté au rouleau ou à la plaque perd environ 20 % de volume. Sans cette marge, la commande est systématiquement courte.</t>
  </si>
  <si>
    <t>Gravier décoratif, galets de drainage, lit de pose : mis en place sans compactage, le volume commandé est le volume en place.</t>
  </si>
  <si>
    <t>La terre rapportée se tasse naturellement les premiers mois. 15 % de marge évite un affaissement visible.</t>
  </si>
  <si>
    <t>Exemple complet vérifiable</t>
  </si>
  <si>
    <t>Projet</t>
  </si>
  <si>
    <t>Allée, passage de véhicule léger, 12 m × 3,5 m</t>
  </si>
  <si>
    <t>Surface</t>
  </si>
  <si>
    <t>42 m²</t>
  </si>
  <si>
    <t>Couche 1 — Fondation</t>
  </si>
  <si>
    <t>Grave concassé 0/25, 15 cm, couche compactée</t>
  </si>
  <si>
    <t>Calcul couche 1</t>
  </si>
  <si>
    <t>42 × 0,15 × 1,20 × 1.8 = 13.6 t</t>
  </si>
  <si>
    <t>Couche 2 — Finition</t>
  </si>
  <si>
    <t>Calcaire concassé 0/15, 5 cm, couche compactée</t>
  </si>
  <si>
    <t>Calcul couche 2</t>
  </si>
  <si>
    <t>42 × 0,05 × 1,20 × 1.8 = 4.5 t</t>
  </si>
  <si>
    <t>Total proposé au client</t>
  </si>
  <si>
    <t>18.1 t</t>
  </si>
  <si>
    <t>Contrôle camion</t>
  </si>
  <si>
    <t>Au-delà de la capacité du camion choisi, le site prévient : « 2 rotations nécessaires, ou un camion plus grand ». Message informatif, jamais bloquant.</t>
  </si>
  <si>
    <t>Mention affichée</t>
  </si>
  <si>
    <t>Estimation indicative pour vous aider à commander. Pour un ouvrage soumis à charge lourde, faites valider par votre maçon.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</si>
</sst>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Calibri"/>
    </font>
    <font>
      <i/>
      <sz val="10"/>
      <color rgb="FF4A6A82"/>
      <name val="Calibri"/>
    </font>
    <font>
      <b/>
      <sz val="11"/>
      <color rgb="FF0053A1"/>
      <name val="Calibri"/>
    </font>
    <font>
      <sz val="10"/>
      <name val="Calibri"/>
    </font>
    <font>
      <b/>
      <sz val="11"/>
      <color rgb="FFFFFFFF"/>
      <name val="Calibri"/>
    </font>
    <font>
      <b/>
      <sz val="10"/>
      <color rgb="FFFFFFFF"/>
      <name val="Calibri"/>
    </font>
    <font>
      <b/>
      <sz val="10"/>
      <name val="Calibri"/>
    </font>
    <font>
      <sz val="10"/>
      <color rgb="FFD8002B"/>
      <name val="Calibri"/>
    </font>
    <font>
      <b/>
      <sz val="11"/>
      <color rgb="FF0053A1"/>
      <name val="Calibri"/>
    </font>
    <font>
      <b/>
      <sz val="11"/>
      <name val="Calibri"/>
    </font>
    <font>
      <b/>
      <sz val="10"/>
      <color rgb="FFFFFFFF"/>
      <name val="Calibri"/>
    </font>
    <font>
      <b/>
      <sz val="11"/>
      <name val="Calibri"/>
    </font>
    <font>
      <b/>
      <sz val="10"/>
      <name val="Calibri"/>
    </font>
  </fonts>
  <fills count="9">
    <fill>
      <patternFill patternType="none"/>
    </fill>
    <fill>
      <patternFill patternType="gray125"/>
    </fill>
    <fill>
      <patternFill patternType="solid">
        <fgColor rgb="FF0053A1"/>
      </patternFill>
    </fill>
    <fill>
      <patternFill patternType="solid">
        <fgColor rgb="FFE8F2FC"/>
      </patternFill>
    </fill>
    <fill>
      <patternFill patternType="solid">
        <fgColor rgb="FF4A6A82"/>
      </patternFill>
    </fill>
    <fill>
      <patternFill patternType="solid">
        <fgColor rgb="FFD8002B"/>
      </patternFill>
    </fill>
    <fill>
      <patternFill patternType="solid">
        <fgColor rgb="FF8A4B00"/>
      </patternFill>
    </fill>
    <fill>
      <patternFill patternType="solid">
        <fgColor rgb="FFF4F8FF"/>
      </patternFill>
    </fill>
    <fill>
      <patternFill patternType="solid">
        <fgColor rgb="FFFFF4CE"/>
      </patternFill>
    </fill>
  </fills>
  <borders count="2">
    <border>
      <left/>
      <right/>
      <top/>
      <bottom/>
      <diagonal/>
    </border>
    <border>
      <left style="thin">
        <color rgb="FFBDD4EA"/>
      </left>
      <right style="thin">
        <color rgb="FFBDD4EA"/>
      </right>
      <top style="thin">
        <color rgb="FFBDD4EA"/>
      </top>
      <bottom style="thin">
        <color rgb="FFBDD4EA"/>
      </bottom>
      <diagonal/>
    </border>
  </borders>
  <cellStyleXfs count="1">
    <xf numFmtId="0" fontId="0" fillId="0" borderId="0"/>
  </cellStyleXfs>
  <cellXfs count="34">
    <xf numFmtId="0" fontId="0" fillId="0" borderId="0" xfId="0"/>
    <xf numFmtId="0" fontId="3" fillId="3" borderId="1" xfId="0" applyFont="1" applyFill="1" applyBorder="1" applyAlignment="1">
      <alignment vertical="top" wrapText="1"/>
    </xf>
    <xf numFmtId="0" fontId="4" fillId="0" borderId="1" xfId="0" applyFont="1" applyBorder="1" applyAlignment="1">
      <alignment vertical="top" wrapText="1"/>
    </xf>
    <xf numFmtId="0" fontId="5" fillId="4" borderId="1" xfId="0" applyFont="1" applyFill="1" applyBorder="1"/>
    <xf numFmtId="0" fontId="4" fillId="0" borderId="1" xfId="0" applyFont="1" applyBorder="1"/>
    <xf numFmtId="0" fontId="6"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0" xfId="0" applyAlignment="1">
      <alignment vertical="top" wrapText="1"/>
    </xf>
    <xf numFmtId="0" fontId="3" fillId="7" borderId="1" xfId="0" applyFont="1" applyFill="1" applyBorder="1" applyAlignment="1">
      <alignment vertical="top" wrapText="1"/>
    </xf>
    <xf numFmtId="0" fontId="4" fillId="7" borderId="1" xfId="0" applyFont="1" applyFill="1" applyBorder="1" applyAlignment="1">
      <alignment vertical="top" wrapText="1"/>
    </xf>
    <xf numFmtId="0" fontId="7" fillId="7" borderId="1" xfId="0" applyFont="1" applyFill="1" applyBorder="1" applyAlignment="1">
      <alignment vertical="top" wrapText="1"/>
    </xf>
    <xf numFmtId="0" fontId="7" fillId="0" borderId="1" xfId="0" applyFont="1" applyBorder="1" applyAlignment="1">
      <alignment vertical="top" wrapText="1"/>
    </xf>
    <xf numFmtId="0" fontId="4" fillId="8" borderId="1" xfId="0" applyFont="1" applyFill="1" applyBorder="1" applyAlignment="1">
      <alignment horizontal="center" vertical="center"/>
    </xf>
    <xf numFmtId="0" fontId="8" fillId="0" borderId="1" xfId="0" applyFont="1" applyBorder="1" applyAlignment="1">
      <alignment vertical="top" wrapText="1"/>
    </xf>
    <xf numFmtId="0" fontId="3" fillId="0" borderId="1" xfId="0" applyFont="1" applyBorder="1" applyAlignment="1">
      <alignment vertical="top" wrapText="1"/>
    </xf>
    <xf numFmtId="0" fontId="9" fillId="0" borderId="0" xfId="0" applyFont="1"/>
    <xf numFmtId="0" fontId="11" fillId="4" borderId="1" xfId="0" applyFont="1" applyFill="1" applyBorder="1" applyAlignment="1">
      <alignment horizontal="center" vertical="center" wrapText="1"/>
    </xf>
    <xf numFmtId="0" fontId="12" fillId="0" borderId="1" xfId="0" applyFont="1" applyBorder="1" applyAlignment="1">
      <alignment vertical="top" wrapText="1"/>
    </xf>
    <xf numFmtId="0" fontId="0" fillId="0" borderId="1" xfId="0" applyBorder="1" applyAlignment="1">
      <alignment vertical="top" wrapText="1"/>
    </xf>
    <xf numFmtId="0" fontId="0" fillId="8" borderId="1" xfId="0" applyFill="1" applyBorder="1" applyAlignment="1">
      <alignment horizontal="center" vertical="center"/>
    </xf>
    <xf numFmtId="0" fontId="13" fillId="3" borderId="1" xfId="0" applyFont="1" applyFill="1" applyBorder="1"/>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7" borderId="1" xfId="0" applyFont="1" applyFill="1" applyBorder="1" applyAlignment="1">
      <alignment vertical="top" wrapText="1"/>
    </xf>
    <xf numFmtId="0" fontId="4" fillId="7" borderId="1" xfId="0" applyFont="1" applyFill="1" applyBorder="1" applyAlignment="1">
      <alignment vertical="top" wrapText="1"/>
    </xf>
    <xf numFmtId="0" fontId="7" fillId="7" borderId="1" xfId="0" applyFont="1" applyFill="1" applyBorder="1" applyAlignment="1">
      <alignment vertical="top" wrapText="1"/>
    </xf>
    <xf numFmtId="0" fontId="4" fillId="0" borderId="1" xfId="0" applyFont="1" applyBorder="1" applyAlignment="1">
      <alignment vertical="top" wrapText="1"/>
    </xf>
    <xf numFmtId="0" fontId="4" fillId="8" borderId="1" xfId="0" applyFont="1" applyFill="1" applyBorder="1" applyAlignment="1">
      <alignment horizontal="center" vertical="center"/>
    </xf>
    <xf numFmtId="0" fontId="8" fillId="0" borderId="1" xfId="0" applyFont="1" applyBorder="1" applyAlignment="1">
      <alignment vertical="top" wrapText="1"/>
    </xf>
    <xf numFmtId="0" fontId="3" fillId="0" borderId="1" xfId="0" applyFont="1" applyBorder="1" applyAlignment="1">
      <alignment vertical="top" wrapText="1"/>
    </xf>
    <xf numFmtId="0" fontId="10" fillId="0" borderId="0" xfId="0" applyFont="1"/>
    <xf numFmtId="0" fontId="0" fillId="0" borderId="1" xfId="0" applyBorder="1" applyAlignment="1">
      <alignment vertical="center" wrapText="1"/>
    </xf>
  </cellXfs>
  <cellStyles count="1">
    <cellStyle name="Normal" xfId="0" builtinId="0"/>
  </cellStyles>
  <dxfs count="12">
    <dxf>
      <font>
        <b/>
        <color rgb="FF8A0018"/>
      </font>
      <fill>
        <patternFill patternType="solid">
          <bgColor rgb="FFF8D0D6"/>
        </patternFill>
      </fill>
    </dxf>
    <dxf>
      <font>
        <b/>
        <color rgb="FF8A4B00"/>
      </font>
      <fill>
        <patternFill patternType="solid">
          <bgColor rgb="FFFFE0B2"/>
        </patternFill>
      </fill>
    </dxf>
    <dxf>
      <font>
        <b/>
        <color rgb="FF1B5E20"/>
      </font>
      <fill>
        <patternFill patternType="solid">
          <bgColor rgb="FFD6F0D8"/>
        </patternFill>
      </fill>
    </dxf>
    <dxf>
      <font>
        <b/>
        <color rgb="FF8A0018"/>
      </font>
      <fill>
        <patternFill patternType="solid">
          <bgColor rgb="FFF8D0D6"/>
        </patternFill>
      </fill>
    </dxf>
    <dxf>
      <font>
        <b/>
        <color rgb="FF8A4B00"/>
      </font>
      <fill>
        <patternFill patternType="solid">
          <bgColor rgb="FFFFE0B2"/>
        </patternFill>
      </fill>
    </dxf>
    <dxf>
      <font>
        <b/>
        <color rgb="FF1B5E20"/>
      </font>
      <fill>
        <patternFill patternType="solid">
          <bgColor rgb="FFD6F0D8"/>
        </patternFill>
      </fill>
    </dxf>
    <dxf>
      <font>
        <b/>
        <color rgb="FF8A0018"/>
      </font>
      <fill>
        <patternFill patternType="solid">
          <bgColor rgb="FFF8D0D6"/>
        </patternFill>
      </fill>
    </dxf>
    <dxf>
      <font>
        <b/>
        <color rgb="FF8A4B00"/>
      </font>
      <fill>
        <patternFill patternType="solid">
          <bgColor rgb="FFFFE0B2"/>
        </patternFill>
      </fill>
    </dxf>
    <dxf>
      <font>
        <b/>
        <color rgb="FF1B5E20"/>
      </font>
      <fill>
        <patternFill patternType="solid">
          <bgColor rgb="FFD6F0D8"/>
        </patternFill>
      </fill>
    </dxf>
    <dxf>
      <font>
        <b/>
        <color rgb="FF8A0018"/>
      </font>
      <fill>
        <patternFill patternType="solid">
          <bgColor rgb="FFF8D0D6"/>
        </patternFill>
      </fill>
    </dxf>
    <dxf>
      <font>
        <b/>
        <color rgb="FF8A4B00"/>
      </font>
      <fill>
        <patternFill patternType="solid">
          <bgColor rgb="FFFFE0B2"/>
        </patternFill>
      </fill>
    </dxf>
    <dxf>
      <font>
        <b/>
        <color rgb="FF1B5E20"/>
      </font>
      <fill>
        <patternFill patternType="solid">
          <bgColor rgb="FFD6F0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53A1"/>
    <pageSetUpPr fitToPage="1"/>
  </sheetPr>
  <dimension ref="A1:C11"/>
  <sheetViews>
    <sheetView workbookViewId="0">
      <selection activeCell="C6" sqref="C6"/>
    </sheetView>
  </sheetViews>
  <sheetFormatPr baseColWidth="10" defaultColWidth="9.140625" defaultRowHeight="15" x14ac:dyDescent="0.25"/>
  <cols>
    <col min="1" max="1" width="4" customWidth="1"/>
    <col min="2" max="2" width="40" customWidth="1"/>
    <col min="3" max="3" width="96" customWidth="1"/>
  </cols>
  <sheetData>
    <row r="1" spans="1:3" ht="30" customHeight="1" x14ac:dyDescent="0.25">
      <c r="A1" s="23" t="s">
        <v>0</v>
      </c>
      <c r="B1" s="23"/>
      <c r="C1" s="23"/>
    </row>
    <row r="2" spans="1:3" ht="21.95" customHeight="1" x14ac:dyDescent="0.25">
      <c r="A2" s="24" t="s">
        <v>1</v>
      </c>
      <c r="B2" s="24"/>
      <c r="C2" s="24"/>
    </row>
    <row r="4" spans="1:3" ht="78" customHeight="1" x14ac:dyDescent="0.25">
      <c r="B4" s="1" t="s">
        <v>2</v>
      </c>
      <c r="C4" s="2" t="s">
        <v>3</v>
      </c>
    </row>
    <row r="5" spans="1:3" ht="63" customHeight="1" x14ac:dyDescent="0.25">
      <c r="B5" s="1" t="s">
        <v>4</v>
      </c>
      <c r="C5" s="2" t="s">
        <v>5</v>
      </c>
    </row>
    <row r="6" spans="1:3" ht="63" customHeight="1" x14ac:dyDescent="0.25">
      <c r="B6" s="1" t="s">
        <v>6</v>
      </c>
      <c r="C6" s="2" t="s">
        <v>7</v>
      </c>
    </row>
    <row r="7" spans="1:3" ht="63" customHeight="1" x14ac:dyDescent="0.25">
      <c r="B7" s="1" t="s">
        <v>8</v>
      </c>
      <c r="C7" s="2" t="s">
        <v>9</v>
      </c>
    </row>
    <row r="8" spans="1:3" ht="63" customHeight="1" x14ac:dyDescent="0.25">
      <c r="B8" s="1" t="s">
        <v>10</v>
      </c>
      <c r="C8" s="2" t="s">
        <v>11</v>
      </c>
    </row>
    <row r="9" spans="1:3" ht="63" customHeight="1" x14ac:dyDescent="0.25">
      <c r="B9" s="1" t="s">
        <v>12</v>
      </c>
      <c r="C9" s="2" t="s">
        <v>13</v>
      </c>
    </row>
    <row r="11" spans="1:3" ht="39.950000000000003" customHeight="1" x14ac:dyDescent="0.25">
      <c r="B11" s="3" t="s">
        <v>14</v>
      </c>
      <c r="C11" s="4" t="s">
        <v>15</v>
      </c>
    </row>
  </sheetData>
  <mergeCells count="2">
    <mergeCell ref="A1:C1"/>
    <mergeCell ref="A2:C2"/>
  </mergeCells>
  <pageMargins left="0.7" right="0.7" top="0.75" bottom="0.75" header="0.3" footer="0.3"/>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53A1"/>
    <pageSetUpPr fitToPage="1"/>
  </sheetPr>
  <dimension ref="A1:O36"/>
  <sheetViews>
    <sheetView tabSelected="1" workbookViewId="0">
      <pane ySplit="4" topLeftCell="A5" activePane="bottomLeft" state="frozen"/>
      <selection pane="bottomLeft" activeCell="C13" sqref="C13:C14"/>
    </sheetView>
  </sheetViews>
  <sheetFormatPr baseColWidth="10" defaultColWidth="9.140625" defaultRowHeight="15" x14ac:dyDescent="0.25"/>
  <cols>
    <col min="1" max="1" width="22" customWidth="1"/>
    <col min="2" max="2" width="24" customWidth="1"/>
    <col min="3" max="3" width="26" customWidth="1"/>
    <col min="4" max="4" width="8" customWidth="1"/>
    <col min="5" max="5" width="18" customWidth="1"/>
    <col min="6" max="6" width="8" customWidth="1"/>
    <col min="7" max="7" width="28" customWidth="1"/>
    <col min="8" max="8" width="12" customWidth="1"/>
    <col min="9" max="9" width="14" customWidth="1"/>
    <col min="10" max="10" width="7" customWidth="1"/>
    <col min="11" max="11" width="8" customWidth="1"/>
    <col min="12" max="12" width="13" customWidth="1"/>
    <col min="13" max="13" width="48" customWidth="1"/>
    <col min="14" max="14" width="13" customWidth="1"/>
    <col min="15" max="15" width="42" customWidth="1"/>
  </cols>
  <sheetData>
    <row r="1" spans="1:15" ht="30" customHeight="1" x14ac:dyDescent="0.25">
      <c r="A1" s="23" t="s">
        <v>16</v>
      </c>
      <c r="B1" s="23"/>
      <c r="C1" s="23"/>
      <c r="D1" s="23"/>
      <c r="E1" s="23"/>
      <c r="F1" s="23"/>
      <c r="G1" s="23"/>
      <c r="H1" s="23"/>
      <c r="I1" s="23"/>
      <c r="J1" s="23"/>
      <c r="K1" s="23"/>
      <c r="L1" s="23"/>
      <c r="M1" s="23"/>
      <c r="N1" s="23"/>
      <c r="O1" s="23"/>
    </row>
    <row r="2" spans="1:15" ht="21.95" customHeight="1" x14ac:dyDescent="0.25">
      <c r="A2" s="24" t="s">
        <v>17</v>
      </c>
      <c r="B2" s="24"/>
      <c r="C2" s="24"/>
      <c r="D2" s="24"/>
      <c r="E2" s="24"/>
      <c r="F2" s="24"/>
      <c r="G2" s="24"/>
      <c r="H2" s="24"/>
      <c r="I2" s="24"/>
      <c r="J2" s="24"/>
      <c r="K2" s="24"/>
      <c r="L2" s="24"/>
      <c r="M2" s="24"/>
      <c r="N2" s="24"/>
      <c r="O2" s="24"/>
    </row>
    <row r="4" spans="1:15" ht="38.1" customHeight="1" x14ac:dyDescent="0.25">
      <c r="A4" s="5" t="s">
        <v>18</v>
      </c>
      <c r="B4" s="5" t="s">
        <v>19</v>
      </c>
      <c r="C4" s="5" t="s">
        <v>20</v>
      </c>
      <c r="D4" s="6" t="s">
        <v>21</v>
      </c>
      <c r="E4" s="6" t="s">
        <v>22</v>
      </c>
      <c r="F4" s="6" t="s">
        <v>23</v>
      </c>
      <c r="G4" s="6" t="s">
        <v>24</v>
      </c>
      <c r="H4" s="7" t="s">
        <v>25</v>
      </c>
      <c r="I4" s="7" t="s">
        <v>26</v>
      </c>
      <c r="J4" s="7" t="s">
        <v>27</v>
      </c>
      <c r="K4" s="7" t="s">
        <v>28</v>
      </c>
      <c r="L4" s="7" t="s">
        <v>29</v>
      </c>
      <c r="M4" s="6" t="s">
        <v>30</v>
      </c>
      <c r="N4" s="8" t="s">
        <v>31</v>
      </c>
      <c r="O4" s="8" t="s">
        <v>32</v>
      </c>
    </row>
    <row r="5" spans="1:15" s="9" customFormat="1" ht="30" customHeight="1" x14ac:dyDescent="0.25">
      <c r="A5" s="25" t="s">
        <v>33</v>
      </c>
      <c r="B5" s="26" t="s">
        <v>34</v>
      </c>
      <c r="C5" s="27" t="s">
        <v>35</v>
      </c>
      <c r="D5" s="2" t="s">
        <v>36</v>
      </c>
      <c r="E5" s="2" t="s">
        <v>37</v>
      </c>
      <c r="F5" s="2" t="s">
        <v>38</v>
      </c>
      <c r="G5" s="13" t="s">
        <v>39</v>
      </c>
      <c r="H5" s="2">
        <v>10</v>
      </c>
      <c r="I5" s="2" t="s">
        <v>40</v>
      </c>
      <c r="J5" s="2">
        <v>1.2</v>
      </c>
      <c r="K5" s="2">
        <v>1.8</v>
      </c>
      <c r="L5" s="2">
        <v>10.8</v>
      </c>
      <c r="M5" s="28" t="s">
        <v>41</v>
      </c>
      <c r="N5" s="29"/>
      <c r="O5" s="28"/>
    </row>
    <row r="6" spans="1:15" s="9" customFormat="1" ht="30" customHeight="1" x14ac:dyDescent="0.25">
      <c r="A6" s="25"/>
      <c r="B6" s="26"/>
      <c r="C6" s="27"/>
      <c r="D6" s="2" t="s">
        <v>42</v>
      </c>
      <c r="E6" s="2" t="s">
        <v>43</v>
      </c>
      <c r="F6" s="2" t="s">
        <v>44</v>
      </c>
      <c r="G6" s="13" t="s">
        <v>45</v>
      </c>
      <c r="H6" s="2">
        <v>4</v>
      </c>
      <c r="I6" s="2" t="s">
        <v>40</v>
      </c>
      <c r="J6" s="2">
        <v>1.2</v>
      </c>
      <c r="K6" s="2">
        <v>1.8</v>
      </c>
      <c r="L6" s="2">
        <v>4.3</v>
      </c>
      <c r="M6" s="28"/>
      <c r="N6" s="29"/>
      <c r="O6" s="28"/>
    </row>
    <row r="7" spans="1:15" s="9" customFormat="1" ht="30" customHeight="1" x14ac:dyDescent="0.25">
      <c r="A7" s="25"/>
      <c r="B7" s="26"/>
      <c r="C7" s="27" t="s">
        <v>46</v>
      </c>
      <c r="D7" s="2" t="s">
        <v>36</v>
      </c>
      <c r="E7" s="2" t="s">
        <v>37</v>
      </c>
      <c r="F7" s="2" t="s">
        <v>38</v>
      </c>
      <c r="G7" s="13" t="s">
        <v>39</v>
      </c>
      <c r="H7" s="2">
        <v>15</v>
      </c>
      <c r="I7" s="2" t="s">
        <v>40</v>
      </c>
      <c r="J7" s="2">
        <v>1.2</v>
      </c>
      <c r="K7" s="2">
        <v>1.8</v>
      </c>
      <c r="L7" s="2">
        <v>16.2</v>
      </c>
      <c r="M7" s="28" t="s">
        <v>47</v>
      </c>
      <c r="N7" s="29"/>
      <c r="O7" s="28"/>
    </row>
    <row r="8" spans="1:15" s="9" customFormat="1" ht="30" customHeight="1" x14ac:dyDescent="0.25">
      <c r="A8" s="25"/>
      <c r="B8" s="26"/>
      <c r="C8" s="27"/>
      <c r="D8" s="2" t="s">
        <v>42</v>
      </c>
      <c r="E8" s="2" t="s">
        <v>43</v>
      </c>
      <c r="F8" s="2" t="s">
        <v>44</v>
      </c>
      <c r="G8" s="13" t="s">
        <v>45</v>
      </c>
      <c r="H8" s="2">
        <v>5</v>
      </c>
      <c r="I8" s="2" t="s">
        <v>40</v>
      </c>
      <c r="J8" s="2">
        <v>1.2</v>
      </c>
      <c r="K8" s="2">
        <v>1.8</v>
      </c>
      <c r="L8" s="2">
        <v>5.4</v>
      </c>
      <c r="M8" s="28"/>
      <c r="N8" s="29"/>
      <c r="O8" s="28"/>
    </row>
    <row r="9" spans="1:15" s="9" customFormat="1" ht="30" customHeight="1" x14ac:dyDescent="0.25">
      <c r="A9" s="25"/>
      <c r="B9" s="26"/>
      <c r="C9" s="27" t="s">
        <v>48</v>
      </c>
      <c r="D9" s="2" t="s">
        <v>36</v>
      </c>
      <c r="E9" s="2" t="s">
        <v>37</v>
      </c>
      <c r="F9" s="2" t="s">
        <v>49</v>
      </c>
      <c r="G9" s="13" t="s">
        <v>50</v>
      </c>
      <c r="H9" s="2">
        <v>25</v>
      </c>
      <c r="I9" s="2" t="s">
        <v>40</v>
      </c>
      <c r="J9" s="2">
        <v>1.2</v>
      </c>
      <c r="K9" s="2">
        <v>1.8</v>
      </c>
      <c r="L9" s="2">
        <v>27</v>
      </c>
      <c r="M9" s="28" t="s">
        <v>51</v>
      </c>
      <c r="N9" s="29"/>
      <c r="O9" s="28"/>
    </row>
    <row r="10" spans="1:15" s="9" customFormat="1" ht="30" customHeight="1" x14ac:dyDescent="0.25">
      <c r="A10" s="25"/>
      <c r="B10" s="26"/>
      <c r="C10" s="27"/>
      <c r="D10" s="2" t="s">
        <v>42</v>
      </c>
      <c r="E10" s="2" t="s">
        <v>43</v>
      </c>
      <c r="F10" s="2" t="s">
        <v>52</v>
      </c>
      <c r="G10" s="13" t="s">
        <v>53</v>
      </c>
      <c r="H10" s="2">
        <v>10</v>
      </c>
      <c r="I10" s="2" t="s">
        <v>40</v>
      </c>
      <c r="J10" s="2">
        <v>1.2</v>
      </c>
      <c r="K10" s="2">
        <v>1.8</v>
      </c>
      <c r="L10" s="2">
        <v>10.8</v>
      </c>
      <c r="M10" s="28"/>
      <c r="N10" s="29"/>
      <c r="O10" s="28"/>
    </row>
    <row r="11" spans="1:15" s="9" customFormat="1" ht="30" customHeight="1" x14ac:dyDescent="0.25">
      <c r="A11" s="25" t="s">
        <v>54</v>
      </c>
      <c r="B11" s="26" t="s">
        <v>55</v>
      </c>
      <c r="C11" s="27" t="s">
        <v>56</v>
      </c>
      <c r="D11" s="2" t="s">
        <v>36</v>
      </c>
      <c r="E11" s="2" t="s">
        <v>37</v>
      </c>
      <c r="F11" s="2" t="s">
        <v>49</v>
      </c>
      <c r="G11" s="13" t="s">
        <v>50</v>
      </c>
      <c r="H11" s="2">
        <v>20</v>
      </c>
      <c r="I11" s="2" t="s">
        <v>40</v>
      </c>
      <c r="J11" s="2">
        <v>1.2</v>
      </c>
      <c r="K11" s="2">
        <v>1.8</v>
      </c>
      <c r="L11" s="2">
        <v>21.6</v>
      </c>
      <c r="M11" s="28" t="s">
        <v>57</v>
      </c>
      <c r="N11" s="29"/>
      <c r="O11" s="28"/>
    </row>
    <row r="12" spans="1:15" s="9" customFormat="1" ht="30" customHeight="1" x14ac:dyDescent="0.25">
      <c r="A12" s="25"/>
      <c r="B12" s="26"/>
      <c r="C12" s="27"/>
      <c r="D12" s="2" t="s">
        <v>42</v>
      </c>
      <c r="E12" s="2" t="s">
        <v>43</v>
      </c>
      <c r="F12" s="2" t="s">
        <v>52</v>
      </c>
      <c r="G12" s="13" t="s">
        <v>53</v>
      </c>
      <c r="H12" s="2">
        <v>8</v>
      </c>
      <c r="I12" s="2" t="s">
        <v>40</v>
      </c>
      <c r="J12" s="2">
        <v>1.2</v>
      </c>
      <c r="K12" s="2">
        <v>1.8</v>
      </c>
      <c r="L12" s="2">
        <v>8.6</v>
      </c>
      <c r="M12" s="28"/>
      <c r="N12" s="29"/>
      <c r="O12" s="28"/>
    </row>
    <row r="13" spans="1:15" s="9" customFormat="1" ht="30" customHeight="1" x14ac:dyDescent="0.25">
      <c r="A13" s="25"/>
      <c r="B13" s="26"/>
      <c r="C13" s="27" t="s">
        <v>58</v>
      </c>
      <c r="D13" s="2" t="s">
        <v>36</v>
      </c>
      <c r="E13" s="2" t="s">
        <v>37</v>
      </c>
      <c r="F13" s="2" t="s">
        <v>59</v>
      </c>
      <c r="G13" s="13" t="s">
        <v>60</v>
      </c>
      <c r="H13" s="2">
        <v>30</v>
      </c>
      <c r="I13" s="2" t="s">
        <v>40</v>
      </c>
      <c r="J13" s="2">
        <v>1.2</v>
      </c>
      <c r="K13" s="2">
        <v>1.8</v>
      </c>
      <c r="L13" s="2">
        <v>32.4</v>
      </c>
      <c r="M13" s="28" t="s">
        <v>61</v>
      </c>
      <c r="N13" s="29"/>
      <c r="O13" s="28"/>
    </row>
    <row r="14" spans="1:15" s="9" customFormat="1" ht="30" customHeight="1" x14ac:dyDescent="0.25">
      <c r="A14" s="25"/>
      <c r="B14" s="26"/>
      <c r="C14" s="27"/>
      <c r="D14" s="2" t="s">
        <v>42</v>
      </c>
      <c r="E14" s="2" t="s">
        <v>43</v>
      </c>
      <c r="F14" s="2" t="s">
        <v>52</v>
      </c>
      <c r="G14" s="13" t="s">
        <v>53</v>
      </c>
      <c r="H14" s="2">
        <v>10</v>
      </c>
      <c r="I14" s="2" t="s">
        <v>40</v>
      </c>
      <c r="J14" s="2">
        <v>1.2</v>
      </c>
      <c r="K14" s="2">
        <v>1.8</v>
      </c>
      <c r="L14" s="2">
        <v>10.8</v>
      </c>
      <c r="M14" s="28"/>
      <c r="N14" s="29"/>
      <c r="O14" s="28"/>
    </row>
    <row r="15" spans="1:15" s="9" customFormat="1" ht="30" customHeight="1" x14ac:dyDescent="0.25">
      <c r="A15" s="25"/>
      <c r="B15" s="26"/>
      <c r="C15" s="27" t="s">
        <v>62</v>
      </c>
      <c r="D15" s="2" t="s">
        <v>36</v>
      </c>
      <c r="E15" s="2" t="s">
        <v>63</v>
      </c>
      <c r="F15" s="2" t="s">
        <v>64</v>
      </c>
      <c r="G15" s="13" t="s">
        <v>65</v>
      </c>
      <c r="H15" s="2">
        <v>25</v>
      </c>
      <c r="I15" s="2" t="s">
        <v>40</v>
      </c>
      <c r="J15" s="2">
        <v>1.2</v>
      </c>
      <c r="K15" s="2">
        <v>1.7</v>
      </c>
      <c r="L15" s="2">
        <v>25.5</v>
      </c>
      <c r="M15" s="28" t="s">
        <v>66</v>
      </c>
      <c r="N15" s="29"/>
      <c r="O15" s="28"/>
    </row>
    <row r="16" spans="1:15" s="9" customFormat="1" ht="30" customHeight="1" x14ac:dyDescent="0.25">
      <c r="A16" s="25"/>
      <c r="B16" s="26"/>
      <c r="C16" s="27"/>
      <c r="D16" s="2" t="s">
        <v>42</v>
      </c>
      <c r="E16" s="2" t="s">
        <v>43</v>
      </c>
      <c r="F16" s="2" t="s">
        <v>67</v>
      </c>
      <c r="G16" s="13" t="s">
        <v>68</v>
      </c>
      <c r="H16" s="2">
        <v>8</v>
      </c>
      <c r="I16" s="2" t="s">
        <v>40</v>
      </c>
      <c r="J16" s="2">
        <v>1.2</v>
      </c>
      <c r="K16" s="2">
        <v>1.7</v>
      </c>
      <c r="L16" s="2">
        <v>8.1999999999999993</v>
      </c>
      <c r="M16" s="28"/>
      <c r="N16" s="29"/>
      <c r="O16" s="28"/>
    </row>
    <row r="17" spans="1:15" s="9" customFormat="1" ht="30" customHeight="1" x14ac:dyDescent="0.25">
      <c r="A17" s="25" t="s">
        <v>69</v>
      </c>
      <c r="B17" s="26" t="s">
        <v>70</v>
      </c>
      <c r="C17" s="12" t="s">
        <v>71</v>
      </c>
      <c r="D17" s="2" t="s">
        <v>72</v>
      </c>
      <c r="E17" s="2" t="s">
        <v>73</v>
      </c>
      <c r="F17" s="2" t="s">
        <v>74</v>
      </c>
      <c r="G17" s="13" t="s">
        <v>75</v>
      </c>
      <c r="H17" s="2">
        <v>40</v>
      </c>
      <c r="I17" s="2" t="s">
        <v>76</v>
      </c>
      <c r="J17" s="2">
        <v>1</v>
      </c>
      <c r="K17" s="2">
        <v>1.6</v>
      </c>
      <c r="L17" s="2">
        <v>32</v>
      </c>
      <c r="M17" s="2" t="s">
        <v>77</v>
      </c>
      <c r="N17" s="14"/>
      <c r="O17" s="2"/>
    </row>
    <row r="18" spans="1:15" s="9" customFormat="1" ht="30" customHeight="1" x14ac:dyDescent="0.25">
      <c r="A18" s="25"/>
      <c r="B18" s="26"/>
      <c r="C18" s="12" t="s">
        <v>78</v>
      </c>
      <c r="D18" s="2" t="s">
        <v>72</v>
      </c>
      <c r="E18" s="2" t="s">
        <v>73</v>
      </c>
      <c r="F18" s="2" t="s">
        <v>79</v>
      </c>
      <c r="G18" s="13" t="s">
        <v>80</v>
      </c>
      <c r="H18" s="2">
        <v>40</v>
      </c>
      <c r="I18" s="2" t="s">
        <v>76</v>
      </c>
      <c r="J18" s="2">
        <v>1</v>
      </c>
      <c r="K18" s="2">
        <v>1.6</v>
      </c>
      <c r="L18" s="2">
        <v>32</v>
      </c>
      <c r="M18" s="2" t="s">
        <v>81</v>
      </c>
      <c r="N18" s="14"/>
      <c r="O18" s="2"/>
    </row>
    <row r="19" spans="1:15" s="9" customFormat="1" ht="30" customHeight="1" x14ac:dyDescent="0.25">
      <c r="A19" s="25"/>
      <c r="B19" s="26"/>
      <c r="C19" s="12" t="s">
        <v>82</v>
      </c>
      <c r="D19" s="2" t="s">
        <v>72</v>
      </c>
      <c r="E19" s="2" t="s">
        <v>83</v>
      </c>
      <c r="F19" s="2" t="s">
        <v>84</v>
      </c>
      <c r="G19" s="13" t="s">
        <v>85</v>
      </c>
      <c r="H19" s="2" t="s">
        <v>86</v>
      </c>
      <c r="I19" s="2" t="s">
        <v>76</v>
      </c>
      <c r="J19" s="2">
        <v>1</v>
      </c>
      <c r="K19" s="2">
        <v>1.6</v>
      </c>
      <c r="L19" s="2" t="s">
        <v>87</v>
      </c>
      <c r="M19" s="2" t="s">
        <v>88</v>
      </c>
      <c r="N19" s="14"/>
      <c r="O19" s="2"/>
    </row>
    <row r="20" spans="1:15" s="9" customFormat="1" ht="30" customHeight="1" x14ac:dyDescent="0.25">
      <c r="A20" s="25" t="s">
        <v>89</v>
      </c>
      <c r="B20" s="26" t="s">
        <v>90</v>
      </c>
      <c r="C20" s="12" t="s">
        <v>91</v>
      </c>
      <c r="D20" s="2" t="s">
        <v>72</v>
      </c>
      <c r="E20" s="2" t="s">
        <v>92</v>
      </c>
      <c r="F20" s="2" t="s">
        <v>93</v>
      </c>
      <c r="G20" s="13" t="s">
        <v>94</v>
      </c>
      <c r="H20" s="2">
        <v>10</v>
      </c>
      <c r="I20" s="2" t="s">
        <v>95</v>
      </c>
      <c r="J20" s="2">
        <v>1.1499999999999999</v>
      </c>
      <c r="K20" s="2">
        <v>1.5</v>
      </c>
      <c r="L20" s="2">
        <v>8.6</v>
      </c>
      <c r="M20" s="2" t="s">
        <v>96</v>
      </c>
      <c r="N20" s="14"/>
      <c r="O20" s="2"/>
    </row>
    <row r="21" spans="1:15" s="9" customFormat="1" ht="30" customHeight="1" x14ac:dyDescent="0.25">
      <c r="A21" s="25"/>
      <c r="B21" s="26"/>
      <c r="C21" s="12" t="s">
        <v>97</v>
      </c>
      <c r="D21" s="2" t="s">
        <v>72</v>
      </c>
      <c r="E21" s="2" t="s">
        <v>98</v>
      </c>
      <c r="F21" s="2" t="s">
        <v>99</v>
      </c>
      <c r="G21" s="13" t="s">
        <v>100</v>
      </c>
      <c r="H21" s="2">
        <v>30</v>
      </c>
      <c r="I21" s="2" t="s">
        <v>95</v>
      </c>
      <c r="J21" s="2">
        <v>1.1499999999999999</v>
      </c>
      <c r="K21" s="2">
        <v>1.4</v>
      </c>
      <c r="L21" s="2">
        <v>24.2</v>
      </c>
      <c r="M21" s="2" t="s">
        <v>101</v>
      </c>
      <c r="N21" s="14"/>
      <c r="O21" s="2"/>
    </row>
    <row r="22" spans="1:15" s="9" customFormat="1" ht="30" customHeight="1" x14ac:dyDescent="0.25">
      <c r="A22" s="25"/>
      <c r="B22" s="26"/>
      <c r="C22" s="12" t="s">
        <v>102</v>
      </c>
      <c r="D22" s="2" t="s">
        <v>72</v>
      </c>
      <c r="E22" s="2" t="s">
        <v>103</v>
      </c>
      <c r="F22" s="2" t="s">
        <v>104</v>
      </c>
      <c r="G22" s="13" t="s">
        <v>105</v>
      </c>
      <c r="H22" s="2">
        <v>20</v>
      </c>
      <c r="I22" s="2" t="s">
        <v>95</v>
      </c>
      <c r="J22" s="2">
        <v>1.1499999999999999</v>
      </c>
      <c r="K22" s="2">
        <v>1.5</v>
      </c>
      <c r="L22" s="2">
        <v>17.3</v>
      </c>
      <c r="M22" s="2" t="s">
        <v>106</v>
      </c>
      <c r="N22" s="14"/>
      <c r="O22" s="2"/>
    </row>
    <row r="23" spans="1:15" s="9" customFormat="1" ht="30" customHeight="1" x14ac:dyDescent="0.25">
      <c r="A23" s="25"/>
      <c r="B23" s="26"/>
      <c r="C23" s="12" t="s">
        <v>107</v>
      </c>
      <c r="D23" s="2" t="s">
        <v>72</v>
      </c>
      <c r="E23" s="2" t="s">
        <v>108</v>
      </c>
      <c r="F23" s="2" t="s">
        <v>109</v>
      </c>
      <c r="G23" s="13" t="s">
        <v>110</v>
      </c>
      <c r="H23" s="2" t="s">
        <v>86</v>
      </c>
      <c r="I23" s="2" t="s">
        <v>95</v>
      </c>
      <c r="J23" s="2">
        <v>1.1499999999999999</v>
      </c>
      <c r="K23" s="2">
        <v>1.6</v>
      </c>
      <c r="L23" s="2" t="s">
        <v>87</v>
      </c>
      <c r="M23" s="2" t="s">
        <v>111</v>
      </c>
      <c r="N23" s="14"/>
      <c r="O23" s="2"/>
    </row>
    <row r="24" spans="1:15" s="9" customFormat="1" ht="30" customHeight="1" x14ac:dyDescent="0.25">
      <c r="A24" s="25" t="s">
        <v>112</v>
      </c>
      <c r="B24" s="26" t="s">
        <v>113</v>
      </c>
      <c r="C24" s="12" t="s">
        <v>114</v>
      </c>
      <c r="D24" s="2" t="s">
        <v>72</v>
      </c>
      <c r="E24" s="2" t="s">
        <v>115</v>
      </c>
      <c r="F24" s="2" t="s">
        <v>116</v>
      </c>
      <c r="G24" s="13" t="s">
        <v>117</v>
      </c>
      <c r="H24" s="2" t="s">
        <v>86</v>
      </c>
      <c r="I24" s="2" t="s">
        <v>76</v>
      </c>
      <c r="J24" s="2">
        <v>1</v>
      </c>
      <c r="K24" s="2">
        <v>1.7</v>
      </c>
      <c r="L24" s="2" t="s">
        <v>87</v>
      </c>
      <c r="M24" s="2" t="s">
        <v>118</v>
      </c>
      <c r="N24" s="14"/>
      <c r="O24" s="2"/>
    </row>
    <row r="25" spans="1:15" s="9" customFormat="1" ht="30" customHeight="1" x14ac:dyDescent="0.25">
      <c r="A25" s="25"/>
      <c r="B25" s="26"/>
      <c r="C25" s="12" t="s">
        <v>119</v>
      </c>
      <c r="D25" s="2" t="s">
        <v>72</v>
      </c>
      <c r="E25" s="2" t="s">
        <v>120</v>
      </c>
      <c r="F25" s="2" t="s">
        <v>121</v>
      </c>
      <c r="G25" s="13" t="s">
        <v>122</v>
      </c>
      <c r="H25" s="2" t="s">
        <v>86</v>
      </c>
      <c r="I25" s="2" t="s">
        <v>76</v>
      </c>
      <c r="J25" s="2">
        <v>1</v>
      </c>
      <c r="K25" s="2">
        <v>2.5</v>
      </c>
      <c r="L25" s="2" t="s">
        <v>87</v>
      </c>
      <c r="M25" s="2" t="s">
        <v>123</v>
      </c>
      <c r="N25" s="14"/>
      <c r="O25" s="2"/>
    </row>
    <row r="26" spans="1:15" s="9" customFormat="1" ht="30" customHeight="1" x14ac:dyDescent="0.25">
      <c r="A26" s="25"/>
      <c r="B26" s="26"/>
      <c r="C26" s="12" t="s">
        <v>124</v>
      </c>
      <c r="D26" s="2" t="s">
        <v>72</v>
      </c>
      <c r="E26" s="2" t="s">
        <v>120</v>
      </c>
      <c r="F26" s="2" t="s">
        <v>125</v>
      </c>
      <c r="G26" s="13" t="s">
        <v>126</v>
      </c>
      <c r="H26" s="2" t="s">
        <v>86</v>
      </c>
      <c r="I26" s="2" t="s">
        <v>76</v>
      </c>
      <c r="J26" s="2">
        <v>1</v>
      </c>
      <c r="K26" s="2">
        <v>2.5</v>
      </c>
      <c r="L26" s="2" t="s">
        <v>87</v>
      </c>
      <c r="M26" s="2" t="s">
        <v>127</v>
      </c>
      <c r="N26" s="14"/>
      <c r="O26" s="2"/>
    </row>
    <row r="27" spans="1:15" s="9" customFormat="1" ht="30" customHeight="1" x14ac:dyDescent="0.25">
      <c r="A27" s="25" t="s">
        <v>128</v>
      </c>
      <c r="B27" s="26" t="s">
        <v>129</v>
      </c>
      <c r="C27" s="12" t="s">
        <v>130</v>
      </c>
      <c r="D27" s="2" t="s">
        <v>72</v>
      </c>
      <c r="E27" s="2" t="s">
        <v>131</v>
      </c>
      <c r="F27" s="2" t="s">
        <v>132</v>
      </c>
      <c r="G27" s="13" t="s">
        <v>133</v>
      </c>
      <c r="H27" s="2" t="s">
        <v>86</v>
      </c>
      <c r="I27" s="2" t="s">
        <v>40</v>
      </c>
      <c r="J27" s="2">
        <v>1.2</v>
      </c>
      <c r="K27" s="2">
        <v>1.9</v>
      </c>
      <c r="L27" s="2" t="s">
        <v>87</v>
      </c>
      <c r="M27" s="2" t="s">
        <v>134</v>
      </c>
      <c r="N27" s="14"/>
      <c r="O27" s="2"/>
    </row>
    <row r="28" spans="1:15" s="9" customFormat="1" ht="30" customHeight="1" x14ac:dyDescent="0.25">
      <c r="A28" s="25"/>
      <c r="B28" s="26"/>
      <c r="C28" s="27" t="s">
        <v>135</v>
      </c>
      <c r="D28" s="2" t="s">
        <v>36</v>
      </c>
      <c r="E28" s="2" t="s">
        <v>136</v>
      </c>
      <c r="F28" s="2" t="s">
        <v>137</v>
      </c>
      <c r="G28" s="13" t="s">
        <v>138</v>
      </c>
      <c r="H28" s="2">
        <v>30</v>
      </c>
      <c r="I28" s="2" t="s">
        <v>76</v>
      </c>
      <c r="J28" s="2">
        <v>1</v>
      </c>
      <c r="K28" s="2">
        <v>1.5</v>
      </c>
      <c r="L28" s="2">
        <v>22.5</v>
      </c>
      <c r="M28" s="28" t="s">
        <v>139</v>
      </c>
      <c r="N28" s="29"/>
      <c r="O28" s="28"/>
    </row>
    <row r="29" spans="1:15" s="9" customFormat="1" ht="30" customHeight="1" x14ac:dyDescent="0.25">
      <c r="A29" s="25"/>
      <c r="B29" s="26"/>
      <c r="C29" s="27"/>
      <c r="D29" s="2" t="s">
        <v>42</v>
      </c>
      <c r="E29" s="2" t="s">
        <v>140</v>
      </c>
      <c r="F29" s="2" t="s">
        <v>132</v>
      </c>
      <c r="G29" s="13" t="s">
        <v>133</v>
      </c>
      <c r="H29" s="2">
        <v>50</v>
      </c>
      <c r="I29" s="2" t="s">
        <v>40</v>
      </c>
      <c r="J29" s="2">
        <v>1.2</v>
      </c>
      <c r="K29" s="2">
        <v>1.9</v>
      </c>
      <c r="L29" s="2">
        <v>57</v>
      </c>
      <c r="M29" s="28"/>
      <c r="N29" s="29"/>
      <c r="O29" s="28"/>
    </row>
    <row r="30" spans="1:15" s="9" customFormat="1" ht="30" customHeight="1" x14ac:dyDescent="0.25">
      <c r="A30" s="25"/>
      <c r="B30" s="26"/>
      <c r="C30" s="27" t="s">
        <v>141</v>
      </c>
      <c r="D30" s="2" t="s">
        <v>36</v>
      </c>
      <c r="E30" s="2" t="s">
        <v>142</v>
      </c>
      <c r="F30" s="2" t="s">
        <v>49</v>
      </c>
      <c r="G30" s="13" t="s">
        <v>50</v>
      </c>
      <c r="H30" s="2">
        <v>30</v>
      </c>
      <c r="I30" s="2" t="s">
        <v>40</v>
      </c>
      <c r="J30" s="2">
        <v>1.2</v>
      </c>
      <c r="K30" s="2">
        <v>1.8</v>
      </c>
      <c r="L30" s="2">
        <v>32.4</v>
      </c>
      <c r="M30" s="28" t="s">
        <v>143</v>
      </c>
      <c r="N30" s="29"/>
      <c r="O30" s="28"/>
    </row>
    <row r="31" spans="1:15" s="9" customFormat="1" ht="30" customHeight="1" x14ac:dyDescent="0.25">
      <c r="A31" s="25"/>
      <c r="B31" s="26"/>
      <c r="C31" s="27"/>
      <c r="D31" s="2" t="s">
        <v>42</v>
      </c>
      <c r="E31" s="2" t="s">
        <v>144</v>
      </c>
      <c r="F31" s="2" t="s">
        <v>52</v>
      </c>
      <c r="G31" s="13" t="s">
        <v>53</v>
      </c>
      <c r="H31" s="2">
        <v>10</v>
      </c>
      <c r="I31" s="2" t="s">
        <v>40</v>
      </c>
      <c r="J31" s="2">
        <v>1.2</v>
      </c>
      <c r="K31" s="2">
        <v>1.8</v>
      </c>
      <c r="L31" s="2">
        <v>10.8</v>
      </c>
      <c r="M31" s="28"/>
      <c r="N31" s="29"/>
      <c r="O31" s="28"/>
    </row>
    <row r="32" spans="1:15" s="9" customFormat="1" ht="30" customHeight="1" x14ac:dyDescent="0.25">
      <c r="A32" s="25" t="s">
        <v>145</v>
      </c>
      <c r="B32" s="26" t="s">
        <v>146</v>
      </c>
      <c r="C32" s="27" t="s">
        <v>147</v>
      </c>
      <c r="D32" s="2" t="s">
        <v>36</v>
      </c>
      <c r="E32" s="2" t="s">
        <v>148</v>
      </c>
      <c r="F32" s="2" t="s">
        <v>38</v>
      </c>
      <c r="G32" s="13" t="s">
        <v>39</v>
      </c>
      <c r="H32" s="2">
        <v>15</v>
      </c>
      <c r="I32" s="2" t="s">
        <v>40</v>
      </c>
      <c r="J32" s="2">
        <v>1.2</v>
      </c>
      <c r="K32" s="2">
        <v>1.8</v>
      </c>
      <c r="L32" s="2">
        <v>16.2</v>
      </c>
      <c r="M32" s="30" t="s">
        <v>149</v>
      </c>
      <c r="N32" s="29"/>
      <c r="O32" s="28"/>
    </row>
    <row r="33" spans="1:15" s="9" customFormat="1" ht="30" customHeight="1" x14ac:dyDescent="0.25">
      <c r="A33" s="25"/>
      <c r="B33" s="26"/>
      <c r="C33" s="27"/>
      <c r="D33" s="2" t="s">
        <v>42</v>
      </c>
      <c r="E33" s="2" t="s">
        <v>150</v>
      </c>
      <c r="F33" s="2" t="s">
        <v>151</v>
      </c>
      <c r="G33" s="13" t="s">
        <v>152</v>
      </c>
      <c r="H33" s="2">
        <v>3</v>
      </c>
      <c r="I33" s="2" t="s">
        <v>76</v>
      </c>
      <c r="J33" s="2">
        <v>1</v>
      </c>
      <c r="K33" s="2">
        <v>1.5</v>
      </c>
      <c r="L33" s="2">
        <v>2.2999999999999998</v>
      </c>
      <c r="M33" s="30"/>
      <c r="N33" s="29"/>
      <c r="O33" s="28"/>
    </row>
    <row r="34" spans="1:15" s="9" customFormat="1" ht="30" customHeight="1" x14ac:dyDescent="0.25">
      <c r="A34" s="25"/>
      <c r="B34" s="26"/>
      <c r="C34" s="27" t="s">
        <v>153</v>
      </c>
      <c r="D34" s="2" t="s">
        <v>36</v>
      </c>
      <c r="E34" s="2" t="s">
        <v>37</v>
      </c>
      <c r="F34" s="2" t="s">
        <v>38</v>
      </c>
      <c r="G34" s="13" t="s">
        <v>39</v>
      </c>
      <c r="H34" s="2">
        <v>10</v>
      </c>
      <c r="I34" s="2" t="s">
        <v>40</v>
      </c>
      <c r="J34" s="2">
        <v>1.2</v>
      </c>
      <c r="K34" s="2">
        <v>1.8</v>
      </c>
      <c r="L34" s="2">
        <v>10.8</v>
      </c>
      <c r="M34" s="28" t="s">
        <v>154</v>
      </c>
      <c r="N34" s="29"/>
      <c r="O34" s="28"/>
    </row>
    <row r="35" spans="1:15" s="9" customFormat="1" ht="30" customHeight="1" x14ac:dyDescent="0.25">
      <c r="A35" s="25"/>
      <c r="B35" s="26"/>
      <c r="C35" s="27"/>
      <c r="D35" s="2" t="s">
        <v>42</v>
      </c>
      <c r="E35" s="2" t="s">
        <v>155</v>
      </c>
      <c r="F35" s="2" t="s">
        <v>151</v>
      </c>
      <c r="G35" s="13" t="s">
        <v>152</v>
      </c>
      <c r="H35" s="2">
        <v>4</v>
      </c>
      <c r="I35" s="2" t="s">
        <v>76</v>
      </c>
      <c r="J35" s="2">
        <v>1</v>
      </c>
      <c r="K35" s="2">
        <v>1.5</v>
      </c>
      <c r="L35" s="2">
        <v>3</v>
      </c>
      <c r="M35" s="28"/>
      <c r="N35" s="29"/>
      <c r="O35" s="28"/>
    </row>
    <row r="36" spans="1:15" s="9" customFormat="1" ht="30" customHeight="1" x14ac:dyDescent="0.25">
      <c r="A36" s="10" t="s">
        <v>156</v>
      </c>
      <c r="B36" s="11" t="s">
        <v>157</v>
      </c>
      <c r="C36" s="12" t="s">
        <v>158</v>
      </c>
      <c r="D36" s="2" t="s">
        <v>72</v>
      </c>
      <c r="E36" s="2" t="s">
        <v>159</v>
      </c>
      <c r="F36" s="2" t="s">
        <v>160</v>
      </c>
      <c r="G36" s="13" t="s">
        <v>161</v>
      </c>
      <c r="H36" s="2">
        <v>6</v>
      </c>
      <c r="I36" s="2" t="s">
        <v>40</v>
      </c>
      <c r="J36" s="2">
        <v>1.2</v>
      </c>
      <c r="K36" s="2">
        <v>2.2999999999999998</v>
      </c>
      <c r="L36" s="2">
        <v>8.3000000000000007</v>
      </c>
      <c r="M36" s="2" t="s">
        <v>162</v>
      </c>
      <c r="N36" s="14"/>
      <c r="O36" s="2"/>
    </row>
  </sheetData>
  <autoFilter ref="A4:O4" xr:uid="{00000000-0009-0000-0000-000001000000}"/>
  <mergeCells count="56">
    <mergeCell ref="O32:O33"/>
    <mergeCell ref="C34:C35"/>
    <mergeCell ref="M34:M35"/>
    <mergeCell ref="N34:N35"/>
    <mergeCell ref="O34:O35"/>
    <mergeCell ref="A32:A35"/>
    <mergeCell ref="B32:B35"/>
    <mergeCell ref="C32:C33"/>
    <mergeCell ref="M32:M33"/>
    <mergeCell ref="N32:N33"/>
    <mergeCell ref="M28:M29"/>
    <mergeCell ref="N28:N29"/>
    <mergeCell ref="O28:O29"/>
    <mergeCell ref="C30:C31"/>
    <mergeCell ref="M30:M31"/>
    <mergeCell ref="N30:N31"/>
    <mergeCell ref="O30:O31"/>
    <mergeCell ref="A24:A26"/>
    <mergeCell ref="B24:B26"/>
    <mergeCell ref="A27:A31"/>
    <mergeCell ref="B27:B31"/>
    <mergeCell ref="C28:C29"/>
    <mergeCell ref="O15:O16"/>
    <mergeCell ref="A17:A19"/>
    <mergeCell ref="B17:B19"/>
    <mergeCell ref="A20:A23"/>
    <mergeCell ref="B20:B23"/>
    <mergeCell ref="O11:O12"/>
    <mergeCell ref="C13:C14"/>
    <mergeCell ref="M13:M14"/>
    <mergeCell ref="N13:N14"/>
    <mergeCell ref="O13:O14"/>
    <mergeCell ref="A11:A16"/>
    <mergeCell ref="B11:B16"/>
    <mergeCell ref="C11:C12"/>
    <mergeCell ref="M11:M12"/>
    <mergeCell ref="N11:N12"/>
    <mergeCell ref="C15:C16"/>
    <mergeCell ref="M15:M16"/>
    <mergeCell ref="N15:N16"/>
    <mergeCell ref="A1:O1"/>
    <mergeCell ref="A2:O2"/>
    <mergeCell ref="A5:A10"/>
    <mergeCell ref="B5:B10"/>
    <mergeCell ref="C5:C6"/>
    <mergeCell ref="M5:M6"/>
    <mergeCell ref="N5:N6"/>
    <mergeCell ref="O5:O6"/>
    <mergeCell ref="C7:C8"/>
    <mergeCell ref="M7:M8"/>
    <mergeCell ref="N7:N8"/>
    <mergeCell ref="O7:O8"/>
    <mergeCell ref="C9:C10"/>
    <mergeCell ref="M9:M10"/>
    <mergeCell ref="N9:N10"/>
    <mergeCell ref="O9:O10"/>
  </mergeCells>
  <conditionalFormatting sqref="N5:N36">
    <cfRule type="cellIs" dxfId="11" priority="1" operator="equal">
      <formula>"OK"</formula>
    </cfRule>
    <cfRule type="cellIs" dxfId="10" priority="2" operator="equal">
      <formula>"À corriger"</formula>
    </cfRule>
    <cfRule type="cellIs" dxfId="9" priority="3" operator="equal">
      <formula>"À supprimer"</formula>
    </cfRule>
  </conditionalFormatting>
  <dataValidations count="1">
    <dataValidation type="list" allowBlank="1" showErrorMessage="1" errorTitle="Valeur non prévue" error="Choisissez OK, À corriger ou À supprimer." sqref="N5:N36" xr:uid="{00000000-0002-0000-0100-000000000000}">
      <formula1>"OK,À corriger,À supprimer"</formula1>
    </dataValidation>
  </dataValidations>
  <pageMargins left="0.4" right="0.4" top="0.5" bottom="0.5" header="0.2" footer="0.2"/>
  <pageSetup paperSize="9" fitToHeight="0" orientation="landscape"/>
  <headerFooter>
    <oddFooter>&amp;LTVM38 — Aide au choix des matériaux&amp;CÀ valider par le responsable carrière&amp;R&amp;P/&amp;N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E57C2"/>
    <pageSetUpPr fitToPage="1"/>
  </sheetPr>
  <dimension ref="A1:I13"/>
  <sheetViews>
    <sheetView workbookViewId="0">
      <pane ySplit="4" topLeftCell="A5" activePane="bottomLeft" state="frozen"/>
      <selection pane="bottomLeft" activeCell="A5" sqref="A5:A6"/>
    </sheetView>
  </sheetViews>
  <sheetFormatPr baseColWidth="10" defaultColWidth="9.140625" defaultRowHeight="15" x14ac:dyDescent="0.25"/>
  <cols>
    <col min="1" max="1" width="30" customWidth="1"/>
    <col min="2" max="2" width="40" customWidth="1"/>
    <col min="3" max="3" width="42" customWidth="1"/>
    <col min="4" max="4" width="8" customWidth="1"/>
    <col min="5" max="5" width="30" customWidth="1"/>
    <col min="7" max="7" width="52" customWidth="1"/>
    <col min="8" max="8" width="13" customWidth="1"/>
    <col min="9" max="9" width="42" customWidth="1"/>
  </cols>
  <sheetData>
    <row r="1" spans="1:9" ht="30" customHeight="1" x14ac:dyDescent="0.25">
      <c r="A1" s="23" t="s">
        <v>163</v>
      </c>
      <c r="B1" s="23"/>
      <c r="C1" s="23"/>
      <c r="D1" s="23"/>
      <c r="E1" s="23"/>
      <c r="F1" s="23"/>
      <c r="G1" s="23"/>
      <c r="H1" s="23"/>
      <c r="I1" s="23"/>
    </row>
    <row r="2" spans="1:9" ht="21.95" customHeight="1" x14ac:dyDescent="0.25">
      <c r="A2" s="24" t="s">
        <v>164</v>
      </c>
      <c r="B2" s="24"/>
      <c r="C2" s="24"/>
      <c r="D2" s="24"/>
      <c r="E2" s="24"/>
      <c r="F2" s="24"/>
      <c r="G2" s="24"/>
      <c r="H2" s="24"/>
      <c r="I2" s="24"/>
    </row>
    <row r="4" spans="1:9" ht="38.1" customHeight="1" x14ac:dyDescent="0.25">
      <c r="A4" s="5" t="s">
        <v>165</v>
      </c>
      <c r="B4" s="5" t="s">
        <v>166</v>
      </c>
      <c r="C4" s="5" t="s">
        <v>20</v>
      </c>
      <c r="D4" s="6" t="s">
        <v>23</v>
      </c>
      <c r="E4" s="6" t="s">
        <v>167</v>
      </c>
      <c r="F4" s="6" t="s">
        <v>28</v>
      </c>
      <c r="G4" s="6" t="s">
        <v>168</v>
      </c>
      <c r="H4" s="8" t="s">
        <v>31</v>
      </c>
      <c r="I4" s="8" t="s">
        <v>32</v>
      </c>
    </row>
    <row r="5" spans="1:9" s="9" customFormat="1" ht="30" customHeight="1" x14ac:dyDescent="0.25">
      <c r="A5" s="31" t="s">
        <v>169</v>
      </c>
      <c r="B5" s="28" t="s">
        <v>170</v>
      </c>
      <c r="C5" s="2" t="s">
        <v>171</v>
      </c>
      <c r="D5" s="2" t="s">
        <v>172</v>
      </c>
      <c r="E5" s="13" t="s">
        <v>173</v>
      </c>
      <c r="F5" s="2">
        <v>2</v>
      </c>
      <c r="G5" s="2" t="s">
        <v>174</v>
      </c>
      <c r="H5" s="14"/>
      <c r="I5" s="2"/>
    </row>
    <row r="6" spans="1:9" s="9" customFormat="1" ht="30" customHeight="1" x14ac:dyDescent="0.25">
      <c r="A6" s="31"/>
      <c r="B6" s="28"/>
      <c r="C6" s="2" t="s">
        <v>175</v>
      </c>
      <c r="D6" s="2" t="s">
        <v>176</v>
      </c>
      <c r="E6" s="13" t="s">
        <v>177</v>
      </c>
      <c r="F6" s="2">
        <v>2</v>
      </c>
      <c r="G6" s="2" t="s">
        <v>178</v>
      </c>
      <c r="H6" s="14"/>
      <c r="I6" s="2"/>
    </row>
    <row r="7" spans="1:9" s="9" customFormat="1" ht="30" customHeight="1" x14ac:dyDescent="0.25">
      <c r="A7" s="31" t="s">
        <v>179</v>
      </c>
      <c r="B7" s="28" t="s">
        <v>180</v>
      </c>
      <c r="C7" s="2" t="s">
        <v>181</v>
      </c>
      <c r="D7" s="2" t="s">
        <v>182</v>
      </c>
      <c r="E7" s="13" t="s">
        <v>183</v>
      </c>
      <c r="F7" s="2">
        <v>1.8</v>
      </c>
      <c r="G7" s="2" t="s">
        <v>184</v>
      </c>
      <c r="H7" s="14"/>
      <c r="I7" s="2"/>
    </row>
    <row r="8" spans="1:9" s="9" customFormat="1" ht="30" customHeight="1" x14ac:dyDescent="0.25">
      <c r="A8" s="31"/>
      <c r="B8" s="28"/>
      <c r="C8" s="2" t="s">
        <v>185</v>
      </c>
      <c r="D8" s="2" t="s">
        <v>186</v>
      </c>
      <c r="E8" s="13" t="s">
        <v>187</v>
      </c>
      <c r="F8" s="2">
        <v>1.8</v>
      </c>
      <c r="G8" s="2" t="s">
        <v>174</v>
      </c>
      <c r="H8" s="14"/>
      <c r="I8" s="2"/>
    </row>
    <row r="9" spans="1:9" s="9" customFormat="1" ht="30" customHeight="1" x14ac:dyDescent="0.25">
      <c r="A9" s="31" t="s">
        <v>188</v>
      </c>
      <c r="B9" s="28" t="s">
        <v>189</v>
      </c>
      <c r="C9" s="2" t="s">
        <v>190</v>
      </c>
      <c r="D9" s="2" t="s">
        <v>182</v>
      </c>
      <c r="E9" s="13" t="s">
        <v>183</v>
      </c>
      <c r="F9" s="2">
        <v>1.8</v>
      </c>
      <c r="G9" s="2" t="s">
        <v>184</v>
      </c>
      <c r="H9" s="14"/>
      <c r="I9" s="2"/>
    </row>
    <row r="10" spans="1:9" s="9" customFormat="1" ht="30" customHeight="1" x14ac:dyDescent="0.25">
      <c r="A10" s="31"/>
      <c r="B10" s="28"/>
      <c r="C10" s="2" t="s">
        <v>191</v>
      </c>
      <c r="D10" s="2" t="s">
        <v>186</v>
      </c>
      <c r="E10" s="13" t="s">
        <v>187</v>
      </c>
      <c r="F10" s="2">
        <v>1.8</v>
      </c>
      <c r="G10" s="2" t="s">
        <v>174</v>
      </c>
      <c r="H10" s="14"/>
      <c r="I10" s="2"/>
    </row>
    <row r="11" spans="1:9" s="9" customFormat="1" ht="30" customHeight="1" x14ac:dyDescent="0.25">
      <c r="A11" s="31" t="s">
        <v>192</v>
      </c>
      <c r="B11" s="28" t="s">
        <v>193</v>
      </c>
      <c r="C11" s="2" t="s">
        <v>194</v>
      </c>
      <c r="D11" s="2" t="s">
        <v>195</v>
      </c>
      <c r="E11" s="13" t="s">
        <v>196</v>
      </c>
      <c r="F11" s="2">
        <v>2.2999999999999998</v>
      </c>
      <c r="G11" s="2" t="s">
        <v>197</v>
      </c>
      <c r="H11" s="14"/>
      <c r="I11" s="2"/>
    </row>
    <row r="12" spans="1:9" s="9" customFormat="1" ht="30" customHeight="1" x14ac:dyDescent="0.25">
      <c r="A12" s="31"/>
      <c r="B12" s="28"/>
      <c r="C12" s="2" t="s">
        <v>198</v>
      </c>
      <c r="D12" s="2" t="s">
        <v>186</v>
      </c>
      <c r="E12" s="13" t="s">
        <v>187</v>
      </c>
      <c r="F12" s="2">
        <v>1.8</v>
      </c>
      <c r="G12" s="2" t="s">
        <v>174</v>
      </c>
      <c r="H12" s="14"/>
      <c r="I12" s="2"/>
    </row>
    <row r="13" spans="1:9" s="9" customFormat="1" ht="30" customHeight="1" x14ac:dyDescent="0.25">
      <c r="A13" s="16" t="s">
        <v>199</v>
      </c>
      <c r="B13" s="2" t="s">
        <v>200</v>
      </c>
      <c r="C13" s="2" t="s">
        <v>201</v>
      </c>
      <c r="D13" s="2" t="s">
        <v>186</v>
      </c>
      <c r="E13" s="13" t="s">
        <v>187</v>
      </c>
      <c r="F13" s="2">
        <v>1.8</v>
      </c>
      <c r="G13" s="2" t="s">
        <v>202</v>
      </c>
      <c r="H13" s="14"/>
      <c r="I13" s="2"/>
    </row>
  </sheetData>
  <autoFilter ref="A4:I4" xr:uid="{00000000-0009-0000-0000-000002000000}"/>
  <mergeCells count="10">
    <mergeCell ref="A9:A10"/>
    <mergeCell ref="B9:B10"/>
    <mergeCell ref="A11:A12"/>
    <mergeCell ref="B11:B12"/>
    <mergeCell ref="A1:I1"/>
    <mergeCell ref="A2:I2"/>
    <mergeCell ref="A5:A6"/>
    <mergeCell ref="B5:B6"/>
    <mergeCell ref="A7:A8"/>
    <mergeCell ref="B7:B8"/>
  </mergeCells>
  <conditionalFormatting sqref="H5:H13">
    <cfRule type="cellIs" dxfId="8" priority="1" operator="equal">
      <formula>"OK"</formula>
    </cfRule>
    <cfRule type="cellIs" dxfId="7" priority="2" operator="equal">
      <formula>"À corriger"</formula>
    </cfRule>
    <cfRule type="cellIs" dxfId="6" priority="3" operator="equal">
      <formula>"À supprimer"</formula>
    </cfRule>
  </conditionalFormatting>
  <dataValidations count="1">
    <dataValidation type="list" allowBlank="1" showErrorMessage="1" errorTitle="Valeur non prévue" error="Choisissez OK, À corriger ou À supprimer." sqref="H5:H13" xr:uid="{00000000-0002-0000-0200-000000000000}">
      <formula1>"OK,À corriger,À supprimer"</formula1>
    </dataValidation>
  </dataValidations>
  <pageMargins left="0.4" right="0.4" top="0.5" bottom="0.5" header="0.2" footer="0.2"/>
  <pageSetup paperSize="9" fitToHeight="0" orientation="landscape"/>
  <headerFooter>
    <oddFooter>&amp;LTVM38 — Aide au choix des matériaux&amp;CÀ valider par le responsable carrière&amp;R&amp;P/&amp;N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6A82"/>
    <pageSetUpPr fitToPage="1"/>
  </sheetPr>
  <dimension ref="A1:J33"/>
  <sheetViews>
    <sheetView workbookViewId="0">
      <pane ySplit="4" topLeftCell="A5" activePane="bottomLeft" state="frozen"/>
      <selection pane="bottomLeft" sqref="A1:J1"/>
    </sheetView>
  </sheetViews>
  <sheetFormatPr baseColWidth="10" defaultColWidth="9.140625" defaultRowHeight="15" x14ac:dyDescent="0.25"/>
  <cols>
    <col min="1" max="1" width="24" customWidth="1"/>
    <col min="3" max="3" width="30" customWidth="1"/>
    <col min="5" max="5" width="28" customWidth="1"/>
    <col min="6" max="7" width="52" customWidth="1"/>
    <col min="8" max="8" width="34" customWidth="1"/>
    <col min="9" max="9" width="13" customWidth="1"/>
    <col min="10" max="10" width="42" customWidth="1"/>
  </cols>
  <sheetData>
    <row r="1" spans="1:10" ht="30" customHeight="1" x14ac:dyDescent="0.25">
      <c r="A1" s="23" t="s">
        <v>203</v>
      </c>
      <c r="B1" s="23"/>
      <c r="C1" s="23"/>
      <c r="D1" s="23"/>
      <c r="E1" s="23"/>
      <c r="F1" s="23"/>
      <c r="G1" s="23"/>
      <c r="H1" s="23"/>
      <c r="I1" s="23"/>
      <c r="J1" s="23"/>
    </row>
    <row r="2" spans="1:10" ht="21.95" customHeight="1" x14ac:dyDescent="0.25">
      <c r="A2" s="24" t="s">
        <v>204</v>
      </c>
      <c r="B2" s="24"/>
      <c r="C2" s="24"/>
      <c r="D2" s="24"/>
      <c r="E2" s="24"/>
      <c r="F2" s="24"/>
      <c r="G2" s="24"/>
      <c r="H2" s="24"/>
      <c r="I2" s="24"/>
      <c r="J2" s="24"/>
    </row>
    <row r="4" spans="1:10" ht="38.1" customHeight="1" x14ac:dyDescent="0.25">
      <c r="A4" s="5" t="s">
        <v>205</v>
      </c>
      <c r="B4" s="5" t="s">
        <v>23</v>
      </c>
      <c r="C4" s="5" t="s">
        <v>206</v>
      </c>
      <c r="D4" s="6" t="s">
        <v>28</v>
      </c>
      <c r="E4" s="6" t="s">
        <v>207</v>
      </c>
      <c r="F4" s="6" t="s">
        <v>208</v>
      </c>
      <c r="G4" s="7" t="s">
        <v>209</v>
      </c>
      <c r="H4" s="6" t="s">
        <v>210</v>
      </c>
      <c r="I4" s="8" t="s">
        <v>31</v>
      </c>
      <c r="J4" s="8" t="s">
        <v>32</v>
      </c>
    </row>
    <row r="5" spans="1:10" s="9" customFormat="1" ht="32.1" customHeight="1" x14ac:dyDescent="0.25">
      <c r="A5" s="16" t="s">
        <v>211</v>
      </c>
      <c r="B5" s="2" t="s">
        <v>212</v>
      </c>
      <c r="C5" s="13" t="s">
        <v>213</v>
      </c>
      <c r="D5" s="2">
        <v>1.8</v>
      </c>
      <c r="E5" s="2" t="s">
        <v>214</v>
      </c>
      <c r="F5" s="2" t="s">
        <v>215</v>
      </c>
      <c r="G5" s="15" t="s">
        <v>216</v>
      </c>
      <c r="H5" s="2" t="s">
        <v>217</v>
      </c>
      <c r="I5" s="14"/>
      <c r="J5" s="2"/>
    </row>
    <row r="6" spans="1:10" s="9" customFormat="1" ht="32.1" customHeight="1" x14ac:dyDescent="0.25">
      <c r="A6" s="16" t="s">
        <v>174</v>
      </c>
      <c r="B6" s="2" t="s">
        <v>38</v>
      </c>
      <c r="C6" s="13" t="s">
        <v>39</v>
      </c>
      <c r="D6" s="2">
        <v>1.8</v>
      </c>
      <c r="E6" s="2" t="s">
        <v>218</v>
      </c>
      <c r="F6" s="2" t="s">
        <v>219</v>
      </c>
      <c r="G6" s="15" t="s">
        <v>220</v>
      </c>
      <c r="H6" s="2" t="s">
        <v>221</v>
      </c>
      <c r="I6" s="14"/>
      <c r="J6" s="2"/>
    </row>
    <row r="7" spans="1:10" s="9" customFormat="1" ht="32.1" customHeight="1" x14ac:dyDescent="0.25">
      <c r="A7" s="16" t="s">
        <v>174</v>
      </c>
      <c r="B7" s="2" t="s">
        <v>49</v>
      </c>
      <c r="C7" s="13" t="s">
        <v>50</v>
      </c>
      <c r="D7" s="2">
        <v>1.8</v>
      </c>
      <c r="E7" s="2" t="s">
        <v>222</v>
      </c>
      <c r="F7" s="2" t="s">
        <v>223</v>
      </c>
      <c r="G7" s="15" t="s">
        <v>224</v>
      </c>
      <c r="H7" s="2" t="s">
        <v>225</v>
      </c>
      <c r="I7" s="14"/>
      <c r="J7" s="2"/>
    </row>
    <row r="8" spans="1:10" s="9" customFormat="1" ht="32.1" customHeight="1" x14ac:dyDescent="0.25">
      <c r="A8" s="16" t="s">
        <v>174</v>
      </c>
      <c r="B8" s="2" t="s">
        <v>226</v>
      </c>
      <c r="C8" s="13" t="s">
        <v>227</v>
      </c>
      <c r="D8" s="2">
        <v>1.8</v>
      </c>
      <c r="E8" s="2" t="s">
        <v>222</v>
      </c>
      <c r="F8" s="2" t="s">
        <v>228</v>
      </c>
      <c r="G8" s="15" t="s">
        <v>229</v>
      </c>
      <c r="H8" s="2" t="s">
        <v>217</v>
      </c>
      <c r="I8" s="14"/>
      <c r="J8" s="2"/>
    </row>
    <row r="9" spans="1:10" s="9" customFormat="1" ht="32.1" customHeight="1" x14ac:dyDescent="0.25">
      <c r="A9" s="16" t="s">
        <v>230</v>
      </c>
      <c r="B9" s="2" t="s">
        <v>93</v>
      </c>
      <c r="C9" s="13" t="s">
        <v>94</v>
      </c>
      <c r="D9" s="2">
        <v>1.5</v>
      </c>
      <c r="E9" s="2" t="s">
        <v>231</v>
      </c>
      <c r="F9" s="2" t="s">
        <v>232</v>
      </c>
      <c r="G9" s="15" t="s">
        <v>233</v>
      </c>
      <c r="H9" s="2" t="s">
        <v>234</v>
      </c>
      <c r="I9" s="14"/>
      <c r="J9" s="2"/>
    </row>
    <row r="10" spans="1:10" s="9" customFormat="1" ht="32.1" customHeight="1" x14ac:dyDescent="0.25">
      <c r="A10" s="16" t="s">
        <v>174</v>
      </c>
      <c r="B10" s="2" t="s">
        <v>104</v>
      </c>
      <c r="C10" s="13" t="s">
        <v>105</v>
      </c>
      <c r="D10" s="2">
        <v>1.5</v>
      </c>
      <c r="E10" s="2" t="s">
        <v>231</v>
      </c>
      <c r="F10" s="2" t="s">
        <v>235</v>
      </c>
      <c r="G10" s="15" t="s">
        <v>236</v>
      </c>
      <c r="H10" s="2" t="s">
        <v>237</v>
      </c>
      <c r="I10" s="14"/>
      <c r="J10" s="2"/>
    </row>
    <row r="11" spans="1:10" s="9" customFormat="1" ht="32.1" customHeight="1" x14ac:dyDescent="0.25">
      <c r="A11" s="16" t="s">
        <v>174</v>
      </c>
      <c r="B11" s="2" t="s">
        <v>99</v>
      </c>
      <c r="C11" s="13" t="s">
        <v>100</v>
      </c>
      <c r="D11" s="2">
        <v>1.4</v>
      </c>
      <c r="E11" s="2" t="s">
        <v>231</v>
      </c>
      <c r="F11" s="2" t="s">
        <v>238</v>
      </c>
      <c r="G11" s="15" t="s">
        <v>239</v>
      </c>
      <c r="H11" s="2" t="s">
        <v>240</v>
      </c>
      <c r="I11" s="14"/>
      <c r="J11" s="2"/>
    </row>
    <row r="12" spans="1:10" s="9" customFormat="1" ht="32.1" customHeight="1" x14ac:dyDescent="0.25">
      <c r="A12" s="16" t="s">
        <v>174</v>
      </c>
      <c r="B12" s="2" t="s">
        <v>109</v>
      </c>
      <c r="C12" s="13" t="s">
        <v>110</v>
      </c>
      <c r="D12" s="2">
        <v>1.6</v>
      </c>
      <c r="E12" s="2" t="s">
        <v>231</v>
      </c>
      <c r="F12" s="2" t="s">
        <v>241</v>
      </c>
      <c r="G12" s="15" t="s">
        <v>242</v>
      </c>
      <c r="H12" s="2" t="s">
        <v>243</v>
      </c>
      <c r="I12" s="14"/>
      <c r="J12" s="2"/>
    </row>
    <row r="13" spans="1:10" s="9" customFormat="1" ht="32.1" customHeight="1" x14ac:dyDescent="0.25">
      <c r="A13" s="16" t="s">
        <v>174</v>
      </c>
      <c r="B13" s="2" t="s">
        <v>121</v>
      </c>
      <c r="C13" s="13" t="s">
        <v>122</v>
      </c>
      <c r="D13" s="2">
        <v>2.5</v>
      </c>
      <c r="E13" s="2" t="s">
        <v>244</v>
      </c>
      <c r="F13" s="2" t="s">
        <v>245</v>
      </c>
      <c r="G13" s="15" t="s">
        <v>246</v>
      </c>
      <c r="H13" s="2" t="s">
        <v>247</v>
      </c>
      <c r="I13" s="14"/>
      <c r="J13" s="2"/>
    </row>
    <row r="14" spans="1:10" s="9" customFormat="1" ht="32.1" customHeight="1" x14ac:dyDescent="0.25">
      <c r="A14" s="16" t="s">
        <v>174</v>
      </c>
      <c r="B14" s="2" t="s">
        <v>125</v>
      </c>
      <c r="C14" s="13" t="s">
        <v>126</v>
      </c>
      <c r="D14" s="2">
        <v>2.5</v>
      </c>
      <c r="E14" s="2" t="s">
        <v>248</v>
      </c>
      <c r="F14" s="2" t="s">
        <v>249</v>
      </c>
      <c r="G14" s="15" t="s">
        <v>250</v>
      </c>
      <c r="H14" s="2" t="s">
        <v>251</v>
      </c>
      <c r="I14" s="14"/>
      <c r="J14" s="2"/>
    </row>
    <row r="15" spans="1:10" s="9" customFormat="1" ht="32.1" customHeight="1" x14ac:dyDescent="0.25">
      <c r="A15" s="16" t="s">
        <v>252</v>
      </c>
      <c r="B15" s="2" t="s">
        <v>176</v>
      </c>
      <c r="C15" s="13" t="s">
        <v>177</v>
      </c>
      <c r="D15" s="2">
        <v>2</v>
      </c>
      <c r="E15" s="2" t="s">
        <v>253</v>
      </c>
      <c r="F15" s="2" t="s">
        <v>254</v>
      </c>
      <c r="G15" s="15" t="s">
        <v>178</v>
      </c>
      <c r="H15" s="2" t="s">
        <v>255</v>
      </c>
      <c r="I15" s="14"/>
      <c r="J15" s="2"/>
    </row>
    <row r="16" spans="1:10" s="9" customFormat="1" ht="32.1" customHeight="1" x14ac:dyDescent="0.25">
      <c r="A16" s="16" t="s">
        <v>174</v>
      </c>
      <c r="B16" s="2" t="s">
        <v>172</v>
      </c>
      <c r="C16" s="13" t="s">
        <v>173</v>
      </c>
      <c r="D16" s="2">
        <v>2</v>
      </c>
      <c r="E16" s="2" t="s">
        <v>253</v>
      </c>
      <c r="F16" s="2" t="s">
        <v>256</v>
      </c>
      <c r="G16" s="2" t="s">
        <v>257</v>
      </c>
      <c r="H16" s="2" t="s">
        <v>255</v>
      </c>
      <c r="I16" s="14"/>
      <c r="J16" s="2"/>
    </row>
    <row r="17" spans="1:10" s="9" customFormat="1" ht="32.1" customHeight="1" x14ac:dyDescent="0.25">
      <c r="A17" s="16" t="s">
        <v>174</v>
      </c>
      <c r="B17" s="2" t="s">
        <v>182</v>
      </c>
      <c r="C17" s="13" t="s">
        <v>183</v>
      </c>
      <c r="D17" s="2">
        <v>1.8</v>
      </c>
      <c r="E17" s="2" t="s">
        <v>253</v>
      </c>
      <c r="F17" s="2" t="s">
        <v>258</v>
      </c>
      <c r="G17" s="15" t="s">
        <v>184</v>
      </c>
      <c r="H17" s="2" t="s">
        <v>259</v>
      </c>
      <c r="I17" s="14"/>
      <c r="J17" s="2"/>
    </row>
    <row r="18" spans="1:10" s="9" customFormat="1" ht="32.1" customHeight="1" x14ac:dyDescent="0.25">
      <c r="A18" s="16" t="s">
        <v>174</v>
      </c>
      <c r="B18" s="2" t="s">
        <v>186</v>
      </c>
      <c r="C18" s="13" t="s">
        <v>187</v>
      </c>
      <c r="D18" s="2">
        <v>1.8</v>
      </c>
      <c r="E18" s="2" t="s">
        <v>253</v>
      </c>
      <c r="F18" s="2" t="s">
        <v>260</v>
      </c>
      <c r="G18" s="2" t="s">
        <v>257</v>
      </c>
      <c r="H18" s="2" t="s">
        <v>261</v>
      </c>
      <c r="I18" s="14"/>
      <c r="J18" s="2"/>
    </row>
    <row r="19" spans="1:10" s="9" customFormat="1" ht="32.1" customHeight="1" x14ac:dyDescent="0.25">
      <c r="A19" s="16" t="s">
        <v>174</v>
      </c>
      <c r="B19" s="2" t="s">
        <v>195</v>
      </c>
      <c r="C19" s="13" t="s">
        <v>196</v>
      </c>
      <c r="D19" s="2">
        <v>2.2999999999999998</v>
      </c>
      <c r="E19" s="2" t="s">
        <v>253</v>
      </c>
      <c r="F19" s="2" t="s">
        <v>262</v>
      </c>
      <c r="G19" s="15" t="s">
        <v>197</v>
      </c>
      <c r="H19" s="2" t="s">
        <v>263</v>
      </c>
      <c r="I19" s="14"/>
      <c r="J19" s="2"/>
    </row>
    <row r="20" spans="1:10" s="9" customFormat="1" ht="32.1" customHeight="1" x14ac:dyDescent="0.25">
      <c r="A20" s="16" t="s">
        <v>264</v>
      </c>
      <c r="B20" s="2" t="s">
        <v>132</v>
      </c>
      <c r="C20" s="13" t="s">
        <v>133</v>
      </c>
      <c r="D20" s="2">
        <v>1.9</v>
      </c>
      <c r="E20" s="2" t="s">
        <v>265</v>
      </c>
      <c r="F20" s="2" t="s">
        <v>266</v>
      </c>
      <c r="G20" s="15" t="s">
        <v>267</v>
      </c>
      <c r="H20" s="2" t="s">
        <v>268</v>
      </c>
      <c r="I20" s="14"/>
      <c r="J20" s="2"/>
    </row>
    <row r="21" spans="1:10" s="9" customFormat="1" ht="32.1" customHeight="1" x14ac:dyDescent="0.25">
      <c r="A21" s="16" t="s">
        <v>174</v>
      </c>
      <c r="B21" s="2" t="s">
        <v>137</v>
      </c>
      <c r="C21" s="13" t="s">
        <v>138</v>
      </c>
      <c r="D21" s="2">
        <v>1.5</v>
      </c>
      <c r="E21" s="2" t="s">
        <v>269</v>
      </c>
      <c r="F21" s="2" t="s">
        <v>270</v>
      </c>
      <c r="G21" s="15" t="s">
        <v>271</v>
      </c>
      <c r="H21" s="2" t="s">
        <v>272</v>
      </c>
      <c r="I21" s="14"/>
      <c r="J21" s="2"/>
    </row>
    <row r="22" spans="1:10" s="9" customFormat="1" ht="32.1" customHeight="1" x14ac:dyDescent="0.25">
      <c r="A22" s="16" t="s">
        <v>174</v>
      </c>
      <c r="B22" s="2" t="s">
        <v>74</v>
      </c>
      <c r="C22" s="13" t="s">
        <v>75</v>
      </c>
      <c r="D22" s="2">
        <v>1.6</v>
      </c>
      <c r="E22" s="2" t="s">
        <v>273</v>
      </c>
      <c r="F22" s="2" t="s">
        <v>274</v>
      </c>
      <c r="G22" s="15" t="s">
        <v>275</v>
      </c>
      <c r="H22" s="2" t="s">
        <v>276</v>
      </c>
      <c r="I22" s="14"/>
      <c r="J22" s="2"/>
    </row>
    <row r="23" spans="1:10" s="9" customFormat="1" ht="32.1" customHeight="1" x14ac:dyDescent="0.25">
      <c r="A23" s="16" t="s">
        <v>174</v>
      </c>
      <c r="B23" s="2" t="s">
        <v>84</v>
      </c>
      <c r="C23" s="13" t="s">
        <v>85</v>
      </c>
      <c r="D23" s="2">
        <v>1.6</v>
      </c>
      <c r="E23" s="2" t="s">
        <v>277</v>
      </c>
      <c r="F23" s="2" t="s">
        <v>278</v>
      </c>
      <c r="G23" s="15" t="s">
        <v>279</v>
      </c>
      <c r="H23" s="2" t="s">
        <v>280</v>
      </c>
      <c r="I23" s="14"/>
      <c r="J23" s="2"/>
    </row>
    <row r="24" spans="1:10" s="9" customFormat="1" ht="32.1" customHeight="1" x14ac:dyDescent="0.25">
      <c r="A24" s="16" t="s">
        <v>174</v>
      </c>
      <c r="B24" s="2" t="s">
        <v>281</v>
      </c>
      <c r="C24" s="13" t="s">
        <v>282</v>
      </c>
      <c r="D24" s="2">
        <v>1.6</v>
      </c>
      <c r="E24" s="2" t="s">
        <v>283</v>
      </c>
      <c r="F24" s="2" t="s">
        <v>284</v>
      </c>
      <c r="G24" s="15" t="s">
        <v>285</v>
      </c>
      <c r="H24" s="2" t="s">
        <v>217</v>
      </c>
      <c r="I24" s="14"/>
      <c r="J24" s="2"/>
    </row>
    <row r="25" spans="1:10" s="9" customFormat="1" ht="32.1" customHeight="1" x14ac:dyDescent="0.25">
      <c r="A25" s="16" t="s">
        <v>174</v>
      </c>
      <c r="B25" s="2" t="s">
        <v>79</v>
      </c>
      <c r="C25" s="13" t="s">
        <v>80</v>
      </c>
      <c r="D25" s="2">
        <v>1.6</v>
      </c>
      <c r="E25" s="2" t="s">
        <v>277</v>
      </c>
      <c r="F25" s="2" t="s">
        <v>286</v>
      </c>
      <c r="G25" s="15" t="s">
        <v>287</v>
      </c>
      <c r="H25" s="2" t="s">
        <v>288</v>
      </c>
      <c r="I25" s="14"/>
      <c r="J25" s="2"/>
    </row>
    <row r="26" spans="1:10" s="9" customFormat="1" ht="32.1" customHeight="1" x14ac:dyDescent="0.25">
      <c r="A26" s="16" t="s">
        <v>289</v>
      </c>
      <c r="B26" s="2" t="s">
        <v>44</v>
      </c>
      <c r="C26" s="13" t="s">
        <v>45</v>
      </c>
      <c r="D26" s="2">
        <v>1.8</v>
      </c>
      <c r="E26" s="2" t="s">
        <v>290</v>
      </c>
      <c r="F26" s="2" t="s">
        <v>291</v>
      </c>
      <c r="G26" s="15" t="s">
        <v>292</v>
      </c>
      <c r="H26" s="2" t="s">
        <v>293</v>
      </c>
      <c r="I26" s="14"/>
      <c r="J26" s="2"/>
    </row>
    <row r="27" spans="1:10" s="9" customFormat="1" ht="32.1" customHeight="1" x14ac:dyDescent="0.25">
      <c r="A27" s="16" t="s">
        <v>174</v>
      </c>
      <c r="B27" s="2" t="s">
        <v>52</v>
      </c>
      <c r="C27" s="13" t="s">
        <v>53</v>
      </c>
      <c r="D27" s="2">
        <v>1.8</v>
      </c>
      <c r="E27" s="2" t="s">
        <v>294</v>
      </c>
      <c r="F27" s="2" t="s">
        <v>295</v>
      </c>
      <c r="G27" s="15" t="s">
        <v>296</v>
      </c>
      <c r="H27" s="2" t="s">
        <v>297</v>
      </c>
      <c r="I27" s="14"/>
      <c r="J27" s="2"/>
    </row>
    <row r="28" spans="1:10" s="9" customFormat="1" ht="32.1" customHeight="1" x14ac:dyDescent="0.25">
      <c r="A28" s="16" t="s">
        <v>174</v>
      </c>
      <c r="B28" s="2" t="s">
        <v>59</v>
      </c>
      <c r="C28" s="13" t="s">
        <v>60</v>
      </c>
      <c r="D28" s="2">
        <v>1.8</v>
      </c>
      <c r="E28" s="2" t="s">
        <v>298</v>
      </c>
      <c r="F28" s="2" t="s">
        <v>299</v>
      </c>
      <c r="G28" s="15" t="s">
        <v>300</v>
      </c>
      <c r="H28" s="2" t="s">
        <v>301</v>
      </c>
      <c r="I28" s="14"/>
      <c r="J28" s="2"/>
    </row>
    <row r="29" spans="1:10" s="9" customFormat="1" ht="32.1" customHeight="1" x14ac:dyDescent="0.25">
      <c r="A29" s="16" t="s">
        <v>302</v>
      </c>
      <c r="B29" s="2" t="s">
        <v>67</v>
      </c>
      <c r="C29" s="13" t="s">
        <v>68</v>
      </c>
      <c r="D29" s="2">
        <v>1.7</v>
      </c>
      <c r="E29" s="2" t="s">
        <v>290</v>
      </c>
      <c r="F29" s="2" t="s">
        <v>303</v>
      </c>
      <c r="G29" s="15" t="s">
        <v>304</v>
      </c>
      <c r="H29" s="2" t="s">
        <v>305</v>
      </c>
      <c r="I29" s="14"/>
      <c r="J29" s="2"/>
    </row>
    <row r="30" spans="1:10" s="9" customFormat="1" ht="32.1" customHeight="1" x14ac:dyDescent="0.25">
      <c r="A30" s="16" t="s">
        <v>174</v>
      </c>
      <c r="B30" s="2" t="s">
        <v>64</v>
      </c>
      <c r="C30" s="13" t="s">
        <v>65</v>
      </c>
      <c r="D30" s="2">
        <v>1.7</v>
      </c>
      <c r="E30" s="2" t="s">
        <v>306</v>
      </c>
      <c r="F30" s="2" t="s">
        <v>307</v>
      </c>
      <c r="G30" s="15" t="s">
        <v>308</v>
      </c>
      <c r="H30" s="2" t="s">
        <v>309</v>
      </c>
      <c r="I30" s="14"/>
      <c r="J30" s="2"/>
    </row>
    <row r="31" spans="1:10" s="9" customFormat="1" ht="32.1" customHeight="1" x14ac:dyDescent="0.25">
      <c r="A31" s="16" t="s">
        <v>174</v>
      </c>
      <c r="B31" s="2" t="s">
        <v>116</v>
      </c>
      <c r="C31" s="13" t="s">
        <v>117</v>
      </c>
      <c r="D31" s="2">
        <v>1.7</v>
      </c>
      <c r="E31" s="2" t="s">
        <v>244</v>
      </c>
      <c r="F31" s="2" t="s">
        <v>310</v>
      </c>
      <c r="G31" s="15" t="s">
        <v>311</v>
      </c>
      <c r="H31" s="2" t="s">
        <v>312</v>
      </c>
      <c r="I31" s="14"/>
      <c r="J31" s="2"/>
    </row>
    <row r="32" spans="1:10" s="9" customFormat="1" ht="32.1" customHeight="1" x14ac:dyDescent="0.25">
      <c r="A32" s="16" t="s">
        <v>313</v>
      </c>
      <c r="B32" s="2" t="s">
        <v>151</v>
      </c>
      <c r="C32" s="13" t="s">
        <v>152</v>
      </c>
      <c r="D32" s="2">
        <v>1.5</v>
      </c>
      <c r="E32" s="2" t="s">
        <v>314</v>
      </c>
      <c r="F32" s="2" t="s">
        <v>315</v>
      </c>
      <c r="G32" s="15" t="s">
        <v>316</v>
      </c>
      <c r="H32" s="2" t="s">
        <v>317</v>
      </c>
      <c r="I32" s="14"/>
      <c r="J32" s="2"/>
    </row>
    <row r="33" spans="1:10" s="9" customFormat="1" ht="32.1" customHeight="1" x14ac:dyDescent="0.25">
      <c r="A33" s="16" t="s">
        <v>318</v>
      </c>
      <c r="B33" s="2" t="s">
        <v>160</v>
      </c>
      <c r="C33" s="13" t="s">
        <v>161</v>
      </c>
      <c r="D33" s="2">
        <v>2.2999999999999998</v>
      </c>
      <c r="E33" s="2" t="s">
        <v>319</v>
      </c>
      <c r="F33" s="2" t="s">
        <v>320</v>
      </c>
      <c r="G33" s="15" t="s">
        <v>321</v>
      </c>
      <c r="H33" s="2" t="s">
        <v>322</v>
      </c>
      <c r="I33" s="14"/>
      <c r="J33" s="2"/>
    </row>
  </sheetData>
  <autoFilter ref="A4:J4" xr:uid="{00000000-0009-0000-0000-000003000000}"/>
  <mergeCells count="2">
    <mergeCell ref="A1:J1"/>
    <mergeCell ref="A2:J2"/>
  </mergeCells>
  <conditionalFormatting sqref="I5:I33">
    <cfRule type="cellIs" dxfId="5" priority="1" operator="equal">
      <formula>"OK"</formula>
    </cfRule>
    <cfRule type="cellIs" dxfId="4" priority="2" operator="equal">
      <formula>"À corriger"</formula>
    </cfRule>
    <cfRule type="cellIs" dxfId="3" priority="3" operator="equal">
      <formula>"À supprimer"</formula>
    </cfRule>
  </conditionalFormatting>
  <dataValidations count="1">
    <dataValidation type="list" allowBlank="1" showErrorMessage="1" errorTitle="Valeur non prévue" error="Choisissez OK, À corriger ou À supprimer." sqref="I5:I33" xr:uid="{00000000-0002-0000-0300-000000000000}">
      <formula1>"OK,À corriger,À supprimer"</formula1>
    </dataValidation>
  </dataValidations>
  <pageMargins left="0.4" right="0.4" top="0.5" bottom="0.5" header="0.2" footer="0.2"/>
  <pageSetup paperSize="9" fitToHeight="0" orientation="landscape"/>
  <headerFooter>
    <oddFooter>&amp;LTVM38 — Aide au choix des matériaux&amp;CÀ valider par le responsable carrière&amp;R&amp;P/&amp;N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8002B"/>
    <pageSetUpPr fitToPage="1"/>
  </sheetPr>
  <dimension ref="A1:F21"/>
  <sheetViews>
    <sheetView workbookViewId="0">
      <selection sqref="A1:F1"/>
    </sheetView>
  </sheetViews>
  <sheetFormatPr baseColWidth="10" defaultColWidth="9.140625" defaultRowHeight="15" x14ac:dyDescent="0.25"/>
  <cols>
    <col min="1" max="1" width="4" customWidth="1"/>
    <col min="2" max="2" width="26" customWidth="1"/>
    <col min="3" max="3" width="12" customWidth="1"/>
    <col min="4" max="4" width="78" customWidth="1"/>
    <col min="5" max="5" width="14" customWidth="1"/>
    <col min="6" max="6" width="40" customWidth="1"/>
  </cols>
  <sheetData>
    <row r="1" spans="1:6" ht="30" customHeight="1" x14ac:dyDescent="0.25">
      <c r="A1" s="23" t="s">
        <v>323</v>
      </c>
      <c r="B1" s="23"/>
      <c r="C1" s="23"/>
      <c r="D1" s="23"/>
      <c r="E1" s="23"/>
      <c r="F1" s="23"/>
    </row>
    <row r="2" spans="1:6" ht="21.95" customHeight="1" x14ac:dyDescent="0.25">
      <c r="A2" s="24" t="s">
        <v>324</v>
      </c>
      <c r="B2" s="24"/>
      <c r="C2" s="24"/>
      <c r="D2" s="24"/>
      <c r="E2" s="24"/>
      <c r="F2" s="24"/>
    </row>
    <row r="4" spans="1:6" ht="26.1" customHeight="1" x14ac:dyDescent="0.25">
      <c r="B4" s="17" t="s">
        <v>325</v>
      </c>
      <c r="C4" s="32" t="s">
        <v>326</v>
      </c>
      <c r="D4" s="32"/>
      <c r="E4" s="32"/>
      <c r="F4" s="32"/>
    </row>
    <row r="6" spans="1:6" ht="30" customHeight="1" x14ac:dyDescent="0.25">
      <c r="B6" s="18" t="s">
        <v>327</v>
      </c>
      <c r="C6" s="18" t="s">
        <v>328</v>
      </c>
      <c r="D6" s="18" t="s">
        <v>329</v>
      </c>
      <c r="E6" s="18" t="s">
        <v>31</v>
      </c>
      <c r="F6" s="18" t="s">
        <v>330</v>
      </c>
    </row>
    <row r="7" spans="1:6" s="9" customFormat="1" ht="39.950000000000003" customHeight="1" x14ac:dyDescent="0.25">
      <c r="B7" s="19" t="s">
        <v>40</v>
      </c>
      <c r="C7" s="20">
        <v>1.2</v>
      </c>
      <c r="D7" s="20" t="s">
        <v>331</v>
      </c>
      <c r="E7" s="21"/>
      <c r="F7" s="20"/>
    </row>
    <row r="8" spans="1:6" s="9" customFormat="1" ht="39.950000000000003" customHeight="1" x14ac:dyDescent="0.25">
      <c r="B8" s="19" t="s">
        <v>76</v>
      </c>
      <c r="C8" s="20">
        <v>1</v>
      </c>
      <c r="D8" s="20" t="s">
        <v>332</v>
      </c>
      <c r="E8" s="21"/>
      <c r="F8" s="20"/>
    </row>
    <row r="9" spans="1:6" s="9" customFormat="1" ht="39.950000000000003" customHeight="1" x14ac:dyDescent="0.25">
      <c r="B9" s="19" t="s">
        <v>95</v>
      </c>
      <c r="C9" s="20">
        <v>1.1499999999999999</v>
      </c>
      <c r="D9" s="20" t="s">
        <v>333</v>
      </c>
      <c r="E9" s="21"/>
      <c r="F9" s="20"/>
    </row>
    <row r="12" spans="1:6" x14ac:dyDescent="0.25">
      <c r="B12" s="17" t="s">
        <v>334</v>
      </c>
    </row>
    <row r="13" spans="1:6" ht="24" customHeight="1" x14ac:dyDescent="0.25">
      <c r="B13" s="22" t="s">
        <v>335</v>
      </c>
      <c r="C13" s="33" t="s">
        <v>336</v>
      </c>
      <c r="D13" s="33"/>
      <c r="E13" s="33"/>
      <c r="F13" s="33"/>
    </row>
    <row r="14" spans="1:6" ht="24" customHeight="1" x14ac:dyDescent="0.25">
      <c r="B14" s="22" t="s">
        <v>337</v>
      </c>
      <c r="C14" s="33" t="s">
        <v>338</v>
      </c>
      <c r="D14" s="33"/>
      <c r="E14" s="33"/>
      <c r="F14" s="33"/>
    </row>
    <row r="15" spans="1:6" ht="24" customHeight="1" x14ac:dyDescent="0.25">
      <c r="B15" s="22" t="s">
        <v>339</v>
      </c>
      <c r="C15" s="33" t="s">
        <v>340</v>
      </c>
      <c r="D15" s="33"/>
      <c r="E15" s="33"/>
      <c r="F15" s="33"/>
    </row>
    <row r="16" spans="1:6" ht="24" customHeight="1" x14ac:dyDescent="0.25">
      <c r="B16" s="22" t="s">
        <v>341</v>
      </c>
      <c r="C16" s="33" t="s">
        <v>342</v>
      </c>
      <c r="D16" s="33"/>
      <c r="E16" s="33"/>
      <c r="F16" s="33"/>
    </row>
    <row r="17" spans="2:6" ht="24" customHeight="1" x14ac:dyDescent="0.25">
      <c r="B17" s="22" t="s">
        <v>343</v>
      </c>
      <c r="C17" s="33" t="s">
        <v>344</v>
      </c>
      <c r="D17" s="33"/>
      <c r="E17" s="33"/>
      <c r="F17" s="33"/>
    </row>
    <row r="18" spans="2:6" ht="24" customHeight="1" x14ac:dyDescent="0.25">
      <c r="B18" s="22" t="s">
        <v>345</v>
      </c>
      <c r="C18" s="33" t="s">
        <v>346</v>
      </c>
      <c r="D18" s="33"/>
      <c r="E18" s="33"/>
      <c r="F18" s="33"/>
    </row>
    <row r="19" spans="2:6" ht="24" customHeight="1" x14ac:dyDescent="0.25">
      <c r="B19" s="22" t="s">
        <v>347</v>
      </c>
      <c r="C19" s="33" t="s">
        <v>348</v>
      </c>
      <c r="D19" s="33"/>
      <c r="E19" s="33"/>
      <c r="F19" s="33"/>
    </row>
    <row r="20" spans="2:6" ht="24" customHeight="1" x14ac:dyDescent="0.25">
      <c r="B20" s="22" t="s">
        <v>349</v>
      </c>
      <c r="C20" s="33" t="s">
        <v>350</v>
      </c>
      <c r="D20" s="33"/>
      <c r="E20" s="33"/>
      <c r="F20" s="33"/>
    </row>
    <row r="21" spans="2:6" ht="24" customHeight="1" x14ac:dyDescent="0.25">
      <c r="B21" s="22" t="s">
        <v>351</v>
      </c>
      <c r="C21" s="33" t="s">
        <v>352</v>
      </c>
      <c r="D21" s="33"/>
      <c r="E21" s="33"/>
      <c r="F21" s="33"/>
    </row>
  </sheetData>
  <mergeCells count="12">
    <mergeCell ref="C20:F20"/>
    <mergeCell ref="C21:F21"/>
    <mergeCell ref="C15:F15"/>
    <mergeCell ref="C16:F16"/>
    <mergeCell ref="C17:F17"/>
    <mergeCell ref="C18:F18"/>
    <mergeCell ref="C19:F19"/>
    <mergeCell ref="A1:F1"/>
    <mergeCell ref="A2:F2"/>
    <mergeCell ref="C4:F4"/>
    <mergeCell ref="C13:F13"/>
    <mergeCell ref="C14:F14"/>
  </mergeCells>
  <conditionalFormatting sqref="E7:E9">
    <cfRule type="cellIs" dxfId="2" priority="1" operator="equal">
      <formula>"OK"</formula>
    </cfRule>
    <cfRule type="cellIs" dxfId="1" priority="2" operator="equal">
      <formula>"À corriger"</formula>
    </cfRule>
    <cfRule type="cellIs" dxfId="0" priority="3" operator="equal">
      <formula>"À supprimer"</formula>
    </cfRule>
  </conditionalFormatting>
  <dataValidations count="1">
    <dataValidation type="list" allowBlank="1" showErrorMessage="1" errorTitle="Valeur non prévue" error="Choisissez OK, À corriger ou À supprimer." sqref="E7:E9" xr:uid="{00000000-0002-0000-0400-000000000000}">
      <formula1>"OK,À corriger,À supprimer"</formula1>
    </dataValidation>
  </dataValidations>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3</vt:i4>
      </vt:variant>
    </vt:vector>
  </HeadingPairs>
  <TitlesOfParts>
    <vt:vector size="8" baseType="lpstr">
      <vt:lpstr>Mode d'emploi</vt:lpstr>
      <vt:lpstr>Livraison — structures</vt:lpstr>
      <vt:lpstr>Décharge — classement</vt:lpstr>
      <vt:lpstr>Fiches matériaux</vt:lpstr>
      <vt:lpstr>Hypothèses de calcul</vt:lpstr>
      <vt:lpstr>'Décharge — classement'!Impression_des_titres</vt:lpstr>
      <vt:lpstr>'Fiches matériaux'!Impression_des_titres</vt:lpstr>
      <vt:lpstr>'Livraison — structures'!Impression_des_titres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2026-08-10T13:24:23Z</dcterms:created>
  <dcterms:modified xsi:type="dcterms:W3CDTF">2026-08-10T13:40:54Z</dcterms:modified>
  <cp:category/>
</cp:coreProperties>
</file>